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ướng dẫn" sheetId="1" state="visible" r:id="rId1"/>
    <sheet name="Dashboard" sheetId="2" state="visible" r:id="rId2"/>
    <sheet name="Hiện trạng" sheetId="3" state="visible" r:id="rId3"/>
    <sheet name="Backlog" sheetId="4" state="visible" r:id="rId4"/>
    <sheet name="Lists" sheetId="5" state="visible" r:id="rId5"/>
    <sheet name="Đội ngũ" sheetId="6" state="visible" r:id="rId6"/>
    <sheet name="Sprint" sheetId="7" state="visible" r:id="rId7"/>
    <sheet name="Rủi ro" sheetId="8" state="visible" r:id="rId8"/>
    <sheet name="Nhật ký" sheetId="9" state="visible" r:id="rId9"/>
  </sheets>
  <definedNames>
    <definedName name="_xlnm._FilterDatabase" localSheetId="3" hidden="1">'Backlog'!$A$4:$O$135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9"/>
    </font>
    <font>
      <name val="Arial"/>
      <charset val="1"/>
      <family val="0"/>
      <b val="1"/>
      <sz val="10"/>
    </font>
    <font>
      <name val="Arial"/>
      <charset val="1"/>
      <family val="0"/>
      <sz val="10"/>
    </font>
    <font>
      <name val="Arial"/>
      <charset val="1"/>
      <family val="0"/>
      <sz val="11"/>
    </font>
    <font>
      <name val="Arial"/>
      <charset val="1"/>
      <family val="0"/>
      <b val="1"/>
      <color rgb="FF1F3864"/>
      <sz val="11"/>
    </font>
    <font>
      <name val="Arial"/>
      <charset val="1"/>
      <family val="0"/>
      <b val="1"/>
      <color rgb="FFFFFFFF"/>
      <sz val="10"/>
    </font>
    <font>
      <name val="Arial"/>
      <charset val="1"/>
      <family val="0"/>
      <b val="1"/>
      <color rgb="FF0000FF"/>
      <sz val="10"/>
    </font>
    <font>
      <name val="Arial"/>
      <charset val="1"/>
      <family val="0"/>
      <i val="1"/>
      <sz val="9"/>
    </font>
    <font>
      <name val="Arial"/>
      <charset val="1"/>
      <family val="0"/>
      <sz val="9"/>
    </font>
    <font>
      <name val="Arial"/>
      <charset val="1"/>
      <family val="0"/>
      <b val="1"/>
      <color rgb="FFFFFFFF"/>
      <sz val="11"/>
    </font>
    <font>
      <name val="Arial"/>
      <charset val="1"/>
      <family val="0"/>
      <b val="1"/>
      <color rgb="FF7F6000"/>
      <sz val="10"/>
    </font>
    <font>
      <name val="Courier New"/>
      <charset val="1"/>
      <family val="0"/>
      <sz val="9"/>
    </font>
    <font>
      <name val="Arial"/>
      <charset val="1"/>
      <family val="0"/>
      <b val="1"/>
      <color rgb="FF9C0006"/>
      <sz val="12"/>
    </font>
  </fonts>
  <fills count="7">
    <fill>
      <patternFill/>
    </fill>
    <fill>
      <patternFill patternType="gray125"/>
    </fill>
    <fill>
      <patternFill patternType="solid">
        <fgColor rgb="FF1F3864"/>
        <bgColor rgb="FF333333"/>
      </patternFill>
    </fill>
    <fill>
      <patternFill patternType="solid">
        <fgColor rgb="FFD9E2F3"/>
        <bgColor rgb="FFEDEDED"/>
      </patternFill>
    </fill>
    <fill>
      <patternFill patternType="solid">
        <fgColor rgb="FFFFFF00"/>
        <bgColor rgb="FFFFFF00"/>
      </patternFill>
    </fill>
    <fill>
      <patternFill patternType="solid">
        <fgColor rgb="FFFFF2CC"/>
        <bgColor rgb="FFEDEDED"/>
      </patternFill>
    </fill>
    <fill>
      <patternFill patternType="solid">
        <fgColor rgb="FF9C0006"/>
        <bgColor rgb="FF80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FC7CE"/>
        </patternFill>
      </fill>
    </dxf>
    <dxf>
      <fill>
        <patternFill>
          <bgColor rgb="FFC6EFCE"/>
        </patternFill>
      </fill>
    </dxf>
    <dxf>
      <fill>
        <patternFill>
          <bgColor rgb="FFFFEB9C"/>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bgColor rgb="FFEDEDED"/>
        </patternFill>
      </fill>
    </dxf>
    <dxf>
      <font>
        <name val="Arial"/>
        <charset val="1"/>
        <family val="0"/>
        <b val="1"/>
        <color rgb="FF9C0006"/>
        <sz val="9"/>
      </font>
    </dxf>
    <dxf>
      <font>
        <name val="Arial"/>
        <charset val="1"/>
        <family val="0"/>
        <b val="1"/>
        <color rgb="FF9C0006"/>
      </font>
      <fill>
        <patternFill>
          <bgColor rgb="FFFFC7CE"/>
        </patternFill>
      </fill>
    </dxf>
    <dxf>
      <font>
        <name val="Arial"/>
        <charset val="1"/>
        <family val="0"/>
        <b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32" customWidth="1" style="37" min="2" max="2"/>
    <col width="95" customWidth="1" style="37" min="3" max="3"/>
  </cols>
  <sheetData>
    <row r="1" ht="24" customHeight="1" s="38">
      <c r="A1" s="39" t="inlineStr">
        <is>
          <t>GoAn — Bảng theo dõi dự án (Project Tracker)</t>
        </is>
      </c>
    </row>
    <row r="2" ht="15" customHeight="1" s="38">
      <c r="A2" s="40" t="inlineStr">
        <is>
          <t>Đội 4 người · 8 giai đoạn · Cập nhật lần cuối 03/09/2026 · nhánh chore/p0-foundation, 5 commit, 129 test xanh</t>
        </is>
      </c>
    </row>
    <row r="4" ht="15" customHeight="1" s="38">
      <c r="B4" s="41" t="n"/>
      <c r="C4" s="42" t="n"/>
    </row>
    <row r="5" ht="15" customHeight="1" s="38">
      <c r="A5" s="43" t="n"/>
      <c r="B5" s="44" t="inlineStr">
        <is>
          <t>CÁC SHEET</t>
        </is>
      </c>
      <c r="C5" s="43" t="n"/>
    </row>
    <row r="6" ht="15" customHeight="1" s="38">
      <c r="B6" s="41" t="inlineStr">
        <is>
          <t>Dashboard</t>
        </is>
      </c>
      <c r="C6" s="42" t="inlineStr">
        <is>
          <t>Tổng hợp tự động theo từng giai đoạn: số task, ngày công, % hoàn thành, số sprint còn lại. Không nhập tay ở đây.</t>
        </is>
      </c>
    </row>
    <row r="7" ht="15" customHeight="1" s="38">
      <c r="B7" s="41" t="inlineStr">
        <is>
          <t>Hiện trạng</t>
        </is>
      </c>
      <c r="C7" s="42" t="inlineStr">
        <is>
          <t>Đánh giá từng phần của hệ thống hiện tại — căn cứ là mã nguồn đã đọc, không phải phỏng đoán.</t>
        </is>
      </c>
    </row>
    <row r="8" ht="15" customHeight="1" s="38">
      <c r="B8" s="41" t="inlineStr">
        <is>
          <t>Backlog</t>
        </is>
      </c>
      <c r="C8" s="42" t="inlineStr">
        <is>
          <t>Bảng công việc chính. Đây là nơi DUY NHẤT cần cập nhật hằng ngày.</t>
        </is>
      </c>
    </row>
    <row r="9" ht="15" customHeight="1" s="38">
      <c r="B9" s="41" t="inlineStr">
        <is>
          <t>Đội ngũ</t>
        </is>
      </c>
      <c r="C9" s="42" t="inlineStr">
        <is>
          <t>4 vai trò, năng lực mỗi sprint, và tải công việc còn lại của từng người.</t>
        </is>
      </c>
    </row>
    <row r="10" ht="15" customHeight="1" s="38">
      <c r="B10" s="41" t="inlineStr">
        <is>
          <t>Sprint</t>
        </is>
      </c>
      <c r="C10" s="42" t="inlineStr">
        <is>
          <t>Lịch 2 tuần/sprint, mục tiêu từng sprint.</t>
        </is>
      </c>
    </row>
    <row r="11" ht="15" customHeight="1" s="38">
      <c r="B11" s="41" t="inlineStr">
        <is>
          <t>Rủi ro</t>
        </is>
      </c>
      <c r="C11" s="42" t="inlineStr">
        <is>
          <t>9 rủi ro đã nhận diện, kèm cách giảm thiểu và người chịu trách nhiệm.</t>
        </is>
      </c>
    </row>
    <row r="12" ht="23.85" customHeight="1" s="38">
      <c r="B12" s="41" t="inlineStr">
        <is>
          <t>Nhật ký</t>
        </is>
      </c>
      <c r="C12" s="42" t="inlineStr">
        <is>
          <t>15 việc đã triển khai thật, kèm mã commit và bằng chứng kiểm chứng. Cả những chỗ đánh giá ban đầu sai và đã được sửa lại.</t>
        </is>
      </c>
    </row>
    <row r="13" ht="15" customHeight="1" s="38">
      <c r="B13" s="41" t="inlineStr">
        <is>
          <t>Lists</t>
        </is>
      </c>
      <c r="C13" s="42" t="inlineStr">
        <is>
          <t>Danh sách giá trị cho ô chọn. Đừng xoá sheet này.</t>
        </is>
      </c>
    </row>
    <row r="14" ht="15" customHeight="1" s="38">
      <c r="B14" s="41" t="n"/>
      <c r="C14" s="42" t="n"/>
    </row>
    <row r="15" ht="15" customHeight="1" s="38">
      <c r="A15" s="43" t="n"/>
      <c r="B15" s="44" t="inlineStr">
        <is>
          <t>CÁCH DÙNG HẰNG NGÀY</t>
        </is>
      </c>
      <c r="C15" s="43" t="n"/>
    </row>
    <row r="16" ht="15" customHeight="1" s="38">
      <c r="B16" s="41" t="inlineStr">
        <is>
          <t>1</t>
        </is>
      </c>
      <c r="C16" s="42" t="inlineStr">
        <is>
          <t>Mỗi ngày, cập nhật 2 cột trong sheet Backlog: 'Trạng thái' và '% hoàn thành'. Mọi thứ khác tự tính.</t>
        </is>
      </c>
    </row>
    <row r="17" ht="15" customHeight="1" s="38">
      <c r="B17" s="41" t="inlineStr">
        <is>
          <t>2</t>
        </is>
      </c>
      <c r="C17" s="42" t="inlineStr">
        <is>
          <t>Điền cột 'Người làm' khi giao việc (đang để trống theo vai trò).</t>
        </is>
      </c>
    </row>
    <row r="18" ht="15" customHeight="1" s="38">
      <c r="B18" s="41" t="inlineStr">
        <is>
          <t>3</t>
        </is>
      </c>
      <c r="C18" s="42" t="inlineStr">
        <is>
          <t>Điền cột 'Sprint' khi đưa task vào sprint.</t>
        </is>
      </c>
    </row>
    <row r="19" ht="15" customHeight="1" s="38">
      <c r="B19" s="41" t="inlineStr">
        <is>
          <t>4</t>
        </is>
      </c>
      <c r="C19" s="42" t="inlineStr">
        <is>
          <t>Đầu mỗi sprint, xem sheet Đội ngũ để biết ai đang quá tải.</t>
        </is>
      </c>
    </row>
    <row r="20" ht="15" customHeight="1" s="38">
      <c r="B20" s="41" t="n"/>
      <c r="C20" s="42" t="n"/>
    </row>
    <row r="21" ht="15" customHeight="1" s="38">
      <c r="A21" s="43" t="n"/>
      <c r="B21" s="44" t="inlineStr">
        <is>
          <t>QUY ƯỚC TRẠNG THÁI</t>
        </is>
      </c>
      <c r="C21" s="43" t="n"/>
    </row>
    <row r="22" ht="15" customHeight="1" s="38">
      <c r="B22" s="41" t="inlineStr">
        <is>
          <t>Đã xong</t>
        </is>
      </c>
      <c r="C22" s="42" t="inlineStr">
        <is>
          <t>Đạt đủ 'Định nghĩa hoàn thành' (cột E), đã merge, đã test. Không có 'gần xong'.</t>
        </is>
      </c>
    </row>
    <row r="23" ht="15" customHeight="1" s="38">
      <c r="B23" s="41" t="inlineStr">
        <is>
          <t>Đang làm</t>
        </is>
      </c>
      <c r="C23" s="42" t="inlineStr">
        <is>
          <t>Có người đang làm. Một người không nên có quá 2 task Đang làm cùng lúc.</t>
        </is>
      </c>
    </row>
    <row r="24" ht="15" customHeight="1" s="38">
      <c r="B24" s="41" t="inlineStr">
        <is>
          <t>Chưa bắt đầu</t>
        </is>
      </c>
      <c r="C24" s="42" t="inlineStr">
        <is>
          <t>Đã sẵn sàng để nhận.</t>
        </is>
      </c>
    </row>
    <row r="25" ht="15" customHeight="1" s="38">
      <c r="B25" s="41" t="inlineStr">
        <is>
          <t>Bị chặn</t>
        </is>
      </c>
      <c r="C25" s="42" t="inlineStr">
        <is>
          <t>Không làm tiếp được vì lý do bên ngoài. PHẢI ghi lý do ở cột Ghi chú và đưa ra họp hằng ngày.</t>
        </is>
      </c>
    </row>
    <row r="26" ht="15" customHeight="1" s="38">
      <c r="B26" s="41" t="n"/>
      <c r="C26" s="42" t="n"/>
    </row>
    <row r="27" ht="15" customHeight="1" s="38">
      <c r="A27" s="43" t="n"/>
      <c r="B27" s="44" t="inlineStr">
        <is>
          <t>QUY ƯỚC ƯU TIÊN</t>
        </is>
      </c>
      <c r="C27" s="43" t="n"/>
    </row>
    <row r="28" ht="15" customHeight="1" s="38">
      <c r="B28" s="41" t="inlineStr">
        <is>
          <t>P0-Bắt buộc</t>
        </is>
      </c>
      <c r="C28" s="42" t="inlineStr">
        <is>
          <t>Không có thì giai đoạn không đóng được.</t>
        </is>
      </c>
    </row>
    <row r="29" ht="15" customHeight="1" s="38">
      <c r="B29" s="41" t="inlineStr">
        <is>
          <t>P1-Cao</t>
        </is>
      </c>
      <c r="C29" s="42" t="inlineStr">
        <is>
          <t>Cần cho vận hành thật, có thể lùi 1 sprint.</t>
        </is>
      </c>
    </row>
    <row r="30" ht="15" customHeight="1" s="38">
      <c r="B30" s="41" t="inlineStr">
        <is>
          <t>P2-Trung bình</t>
        </is>
      </c>
      <c r="C30" s="42" t="inlineStr">
        <is>
          <t>Cải thiện chất lượng, lùi được.</t>
        </is>
      </c>
    </row>
    <row r="31" ht="15" customHeight="1" s="38">
      <c r="B31" s="41" t="inlineStr">
        <is>
          <t>P3-Thấp</t>
        </is>
      </c>
      <c r="C31" s="42" t="inlineStr">
        <is>
          <t>Làm khi còn thời gian.</t>
        </is>
      </c>
    </row>
    <row r="32" ht="15" customHeight="1" s="38">
      <c r="B32" s="41" t="n"/>
      <c r="C32" s="42" t="n"/>
    </row>
    <row r="33" ht="15" customHeight="1" s="38">
      <c r="A33" s="43" t="n"/>
      <c r="B33" s="44" t="inlineStr">
        <is>
          <t>ĐƯA LÊN GOOGLE SHEETS</t>
        </is>
      </c>
      <c r="C33" s="43" t="n"/>
    </row>
    <row r="34" ht="23.85" customHeight="1" s="38">
      <c r="B34" s="41" t="inlineStr">
        <is>
          <t>Cách 1</t>
        </is>
      </c>
      <c r="C34" s="42" t="inlineStr">
        <is>
          <t>Google Drive → Mới → Tải tệp lên → chọn file .xlsx này → mở bằng Google Sheets. Toàn bộ công thức, định dạng và ô chọn được giữ nguyên.</t>
        </is>
      </c>
    </row>
    <row r="35" ht="15" customHeight="1" s="38">
      <c r="B35" s="41" t="inlineStr">
        <is>
          <t>Cách 2</t>
        </is>
      </c>
      <c r="C35" s="42" t="inlineStr">
        <is>
          <t>Trong Google Sheets: Tệp → Nhập → Tải lên → 'Thay thế bảng tính'.</t>
        </is>
      </c>
    </row>
    <row r="36" ht="15" customHeight="1" s="38">
      <c r="B36" s="41" t="inlineStr">
        <is>
          <t>Lưu ý</t>
        </is>
      </c>
      <c r="C36" s="42" t="inlineStr">
        <is>
          <t>Sau khi lên Sheets, nên bật: Dữ liệu → Bộ lọc trên sheet Backlog, và chia sẻ quyền Chỉnh sửa cho cả đội.</t>
        </is>
      </c>
    </row>
    <row r="37" ht="15" customHeight="1" s="38">
      <c r="B37" s="41" t="n"/>
      <c r="C37" s="42" t="n"/>
    </row>
    <row r="38" ht="15" customHeight="1" s="38">
      <c r="A38" s="43" t="n"/>
      <c r="B38" s="44" t="inlineStr">
        <is>
          <t>ĐIỀU CẦN BIẾT TRƯỚC KHI ĐỌC SỐ</t>
        </is>
      </c>
      <c r="C38" s="43" t="n"/>
    </row>
    <row r="39" ht="15" customHeight="1" s="38">
      <c r="B39" s="41" t="inlineStr">
        <is>
          <t>Ước tính</t>
        </is>
      </c>
      <c r="C39" s="42" t="inlineStr">
        <is>
          <t>Đơn vị là NGÀY CÔNG (person-day) của một người làm việc tập trung, chưa gồm họp và hỗ trợ.</t>
        </is>
      </c>
    </row>
    <row r="40" ht="15" customHeight="1" s="38">
      <c r="B40" s="41" t="inlineStr">
        <is>
          <t>Năng lực</t>
        </is>
      </c>
      <c r="C40" s="42" t="inlineStr">
        <is>
          <t>Sprint = 2 tuần = 10 ngày làm việc, nhưng chỉ tính 8 ngày hiệu quả/người (trừ họp, review, sự cố).</t>
        </is>
      </c>
    </row>
    <row r="41" ht="23.85" customHeight="1" s="38">
      <c r="B41" s="41" t="inlineStr">
        <is>
          <t>Task đã xong</t>
        </is>
      </c>
      <c r="C41" s="42" t="inlineStr">
        <is>
          <t>Những dòng ghi '[ĐÃ CÓ]' là phần code đã tồn tại và đã được kiểm chứng — để 0 ngày công, chỉ dùng để phản ánh đúng % hoàn thành.</t>
        </is>
      </c>
    </row>
    <row r="42" ht="15" customHeight="1" s="38">
      <c r="B42" s="41" t="inlineStr">
        <is>
          <t>Điểm nghẽn</t>
        </is>
      </c>
      <c r="C42" s="42" t="inlineStr">
        <is>
          <t>Với 4 người, đường găng là app mobile. Xem sheet Rủi ro, mục R1 — đây là điều cần quyết sớm nhất.</t>
        </is>
      </c>
    </row>
  </sheetData>
  <mergeCells count="2">
    <mergeCell ref="A1:C1"/>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6" customWidth="1" style="37" min="1" max="1"/>
    <col width="11" customWidth="1" style="37" min="2" max="2"/>
    <col width="10" customWidth="1" style="37" min="3" max="4"/>
    <col width="13" customWidth="1" style="37" min="5" max="5"/>
    <col width="9" customWidth="1" style="37" min="6" max="6"/>
    <col width="14" customWidth="1" style="37" min="7" max="7"/>
    <col width="15" customWidth="1" style="37" min="8" max="8"/>
    <col width="13" customWidth="1" style="37" min="9" max="9"/>
    <col width="17" customWidth="1" style="37" min="10" max="10"/>
    <col width="18" customWidth="1" style="37" min="11" max="11"/>
  </cols>
  <sheetData>
    <row r="1" ht="24" customHeight="1" s="38">
      <c r="A1" s="39" t="inlineStr">
        <is>
          <t>DASHBOARD — Tình trạng theo từng giai đoạn</t>
        </is>
      </c>
    </row>
    <row r="2" ht="15" customHeight="1" s="38">
      <c r="A2" s="40" t="inlineStr">
        <is>
          <t>Toàn bộ số liệu tự tính từ sheet Backlog và sheet Đội ngũ. Các giả định tính toán nằm ở cuối sheet này.</t>
        </is>
      </c>
    </row>
    <row r="4" ht="31.5" customHeight="1" s="38">
      <c r="A4" s="45" t="inlineStr">
        <is>
          <t>Giai đoạn</t>
        </is>
      </c>
      <c r="B4" s="45" t="inlineStr">
        <is>
          <t>Tổng task</t>
        </is>
      </c>
      <c r="C4" s="45" t="inlineStr">
        <is>
          <t>Đã xong</t>
        </is>
      </c>
      <c r="D4" s="45" t="inlineStr">
        <is>
          <t>Đang làm</t>
        </is>
      </c>
      <c r="E4" s="45" t="inlineStr">
        <is>
          <t>Chưa bắt đầu</t>
        </is>
      </c>
      <c r="F4" s="45" t="inlineStr">
        <is>
          <t>Bị chặn</t>
        </is>
      </c>
      <c r="G4" s="45" t="inlineStr">
        <is>
          <t>Tổng ngày công</t>
        </is>
      </c>
      <c r="H4" s="45" t="inlineStr">
        <is>
          <t>Ngày công còn lại</t>
        </is>
      </c>
      <c r="I4" s="45" t="inlineStr">
        <is>
          <t>% hoàn thành</t>
        </is>
      </c>
      <c r="J4" s="45" t="inlineStr">
        <is>
          <t>Số sprint cần (4 người)</t>
        </is>
      </c>
      <c r="K4" s="45" t="inlineStr">
        <is>
          <t>Trạng thái tổng</t>
        </is>
      </c>
    </row>
    <row r="5" ht="15" customHeight="1" s="38">
      <c r="A5" s="46" t="inlineStr">
        <is>
          <t>P0 - Dọn nền</t>
        </is>
      </c>
      <c r="B5" s="47">
        <f>COUNTIFS(Backlog!$B$5:$B$135,$A5)</f>
        <v/>
      </c>
      <c r="C5" s="47">
        <f>COUNTIFS(Backlog!$B$5:$B$135,$A5,Backlog!$K$5:$K$135,"Đã xong")</f>
        <v/>
      </c>
      <c r="D5" s="47">
        <f>COUNTIFS(Backlog!$B$5:$B$135,$A5,Backlog!$K$5:$K$135,"Đang làm")</f>
        <v/>
      </c>
      <c r="E5" s="47">
        <f>COUNTIFS(Backlog!$B$5:$B$135,$A5,Backlog!$K$5:$K$135,"Chưa bắt đầu")</f>
        <v/>
      </c>
      <c r="F5" s="47">
        <f>COUNTIFS(Backlog!$B$5:$B$135,$A5,Backlog!$K$5:$K$135,"Bị chặn")</f>
        <v/>
      </c>
      <c r="G5" s="48">
        <f>SUMIFS(Backlog!$H$5:$H$135,Backlog!$B$5:$B$135,$A5)</f>
        <v/>
      </c>
      <c r="H5" s="48">
        <f>SUMIFS(Backlog!$M$5:$M$135,Backlog!$B$5:$B$135,$A5)</f>
        <v/>
      </c>
      <c r="I5" s="49">
        <f>IFERROR(1-H5/G5,1)</f>
        <v/>
      </c>
      <c r="J5" s="48">
        <f>IFERROR(ROUND(H5/$B$16,1),0)</f>
        <v/>
      </c>
      <c r="K5" s="46">
        <f>IF(F5&gt;0,"Có việc bị chặn",IF(I5&gt;=1,"Hoàn thành",IF(D5&gt;0,"Đang chạy","Chưa bắt đầu")))</f>
        <v/>
      </c>
    </row>
    <row r="6" ht="15" customHeight="1" s="38">
      <c r="A6" s="46" t="inlineStr">
        <is>
          <t>P1 - IAM &amp; Console khung</t>
        </is>
      </c>
      <c r="B6" s="47">
        <f>COUNTIFS(Backlog!$B$5:$B$135,$A6)</f>
        <v/>
      </c>
      <c r="C6" s="47">
        <f>COUNTIFS(Backlog!$B$5:$B$135,$A6,Backlog!$K$5:$K$135,"Đã xong")</f>
        <v/>
      </c>
      <c r="D6" s="47">
        <f>COUNTIFS(Backlog!$B$5:$B$135,$A6,Backlog!$K$5:$K$135,"Đang làm")</f>
        <v/>
      </c>
      <c r="E6" s="47">
        <f>COUNTIFS(Backlog!$B$5:$B$135,$A6,Backlog!$K$5:$K$135,"Chưa bắt đầu")</f>
        <v/>
      </c>
      <c r="F6" s="47">
        <f>COUNTIFS(Backlog!$B$5:$B$135,$A6,Backlog!$K$5:$K$135,"Bị chặn")</f>
        <v/>
      </c>
      <c r="G6" s="48">
        <f>SUMIFS(Backlog!$H$5:$H$135,Backlog!$B$5:$B$135,$A6)</f>
        <v/>
      </c>
      <c r="H6" s="48">
        <f>SUMIFS(Backlog!$M$5:$M$135,Backlog!$B$5:$B$135,$A6)</f>
        <v/>
      </c>
      <c r="I6" s="49">
        <f>IFERROR(1-H6/G6,1)</f>
        <v/>
      </c>
      <c r="J6" s="48">
        <f>IFERROR(ROUND(H6/$B$16,1),0)</f>
        <v/>
      </c>
      <c r="K6" s="46">
        <f>IF(F6&gt;0,"Có việc bị chặn",IF(I6&gt;=1,"Hoàn thành",IF(D6&gt;0,"Đang chạy","Chưa bắt đầu")))</f>
        <v/>
      </c>
    </row>
    <row r="7" ht="15" customHeight="1" s="38">
      <c r="A7" s="46" t="inlineStr">
        <is>
          <t>P2 - Chat &amp; Support</t>
        </is>
      </c>
      <c r="B7" s="47">
        <f>COUNTIFS(Backlog!$B$5:$B$135,$A7)</f>
        <v/>
      </c>
      <c r="C7" s="47">
        <f>COUNTIFS(Backlog!$B$5:$B$135,$A7,Backlog!$K$5:$K$135,"Đã xong")</f>
        <v/>
      </c>
      <c r="D7" s="47">
        <f>COUNTIFS(Backlog!$B$5:$B$135,$A7,Backlog!$K$5:$K$135,"Đang làm")</f>
        <v/>
      </c>
      <c r="E7" s="47">
        <f>COUNTIFS(Backlog!$B$5:$B$135,$A7,Backlog!$K$5:$K$135,"Chưa bắt đầu")</f>
        <v/>
      </c>
      <c r="F7" s="47">
        <f>COUNTIFS(Backlog!$B$5:$B$135,$A7,Backlog!$K$5:$K$135,"Bị chặn")</f>
        <v/>
      </c>
      <c r="G7" s="48">
        <f>SUMIFS(Backlog!$H$5:$H$135,Backlog!$B$5:$B$135,$A7)</f>
        <v/>
      </c>
      <c r="H7" s="48">
        <f>SUMIFS(Backlog!$M$5:$M$135,Backlog!$B$5:$B$135,$A7)</f>
        <v/>
      </c>
      <c r="I7" s="49">
        <f>IFERROR(1-H7/G7,1)</f>
        <v/>
      </c>
      <c r="J7" s="48">
        <f>IFERROR(ROUND(H7/$B$16,1),0)</f>
        <v/>
      </c>
      <c r="K7" s="46">
        <f>IF(F7&gt;0,"Có việc bị chặn",IF(I7&gt;=1,"Hoàn thành",IF(D7&gt;0,"Đang chạy","Chưa bắt đầu")))</f>
        <v/>
      </c>
    </row>
    <row r="8" ht="15" customHeight="1" s="38">
      <c r="A8" s="46" t="inlineStr">
        <is>
          <t>P3 - Driver App</t>
        </is>
      </c>
      <c r="B8" s="47">
        <f>COUNTIFS(Backlog!$B$5:$B$135,$A8)</f>
        <v/>
      </c>
      <c r="C8" s="47">
        <f>COUNTIFS(Backlog!$B$5:$B$135,$A8,Backlog!$K$5:$K$135,"Đã xong")</f>
        <v/>
      </c>
      <c r="D8" s="47">
        <f>COUNTIFS(Backlog!$B$5:$B$135,$A8,Backlog!$K$5:$K$135,"Đang làm")</f>
        <v/>
      </c>
      <c r="E8" s="47">
        <f>COUNTIFS(Backlog!$B$5:$B$135,$A8,Backlog!$K$5:$K$135,"Chưa bắt đầu")</f>
        <v/>
      </c>
      <c r="F8" s="47">
        <f>COUNTIFS(Backlog!$B$5:$B$135,$A8,Backlog!$K$5:$K$135,"Bị chặn")</f>
        <v/>
      </c>
      <c r="G8" s="48">
        <f>SUMIFS(Backlog!$H$5:$H$135,Backlog!$B$5:$B$135,$A8)</f>
        <v/>
      </c>
      <c r="H8" s="48">
        <f>SUMIFS(Backlog!$M$5:$M$135,Backlog!$B$5:$B$135,$A8)</f>
        <v/>
      </c>
      <c r="I8" s="49">
        <f>IFERROR(1-H8/G8,1)</f>
        <v/>
      </c>
      <c r="J8" s="48">
        <f>IFERROR(ROUND(H8/$B$16,1),0)</f>
        <v/>
      </c>
      <c r="K8" s="46">
        <f>IF(F8&gt;0,"Có việc bị chặn",IF(I8&gt;=1,"Hoàn thành",IF(D8&gt;0,"Đang chạy","Chưa bắt đầu")))</f>
        <v/>
      </c>
    </row>
    <row r="9" ht="15" customHeight="1" s="38">
      <c r="A9" s="46" t="inlineStr">
        <is>
          <t>P4 - Rider App</t>
        </is>
      </c>
      <c r="B9" s="47">
        <f>COUNTIFS(Backlog!$B$5:$B$135,$A9)</f>
        <v/>
      </c>
      <c r="C9" s="47">
        <f>COUNTIFS(Backlog!$B$5:$B$135,$A9,Backlog!$K$5:$K$135,"Đã xong")</f>
        <v/>
      </c>
      <c r="D9" s="47">
        <f>COUNTIFS(Backlog!$B$5:$B$135,$A9,Backlog!$K$5:$K$135,"Đang làm")</f>
        <v/>
      </c>
      <c r="E9" s="47">
        <f>COUNTIFS(Backlog!$B$5:$B$135,$A9,Backlog!$K$5:$K$135,"Chưa bắt đầu")</f>
        <v/>
      </c>
      <c r="F9" s="47">
        <f>COUNTIFS(Backlog!$B$5:$B$135,$A9,Backlog!$K$5:$K$135,"Bị chặn")</f>
        <v/>
      </c>
      <c r="G9" s="48">
        <f>SUMIFS(Backlog!$H$5:$H$135,Backlog!$B$5:$B$135,$A9)</f>
        <v/>
      </c>
      <c r="H9" s="48">
        <f>SUMIFS(Backlog!$M$5:$M$135,Backlog!$B$5:$B$135,$A9)</f>
        <v/>
      </c>
      <c r="I9" s="49">
        <f>IFERROR(1-H9/G9,1)</f>
        <v/>
      </c>
      <c r="J9" s="48">
        <f>IFERROR(ROUND(H9/$B$16,1),0)</f>
        <v/>
      </c>
      <c r="K9" s="46">
        <f>IF(F9&gt;0,"Có việc bị chặn",IF(I9&gt;=1,"Hoàn thành",IF(D9&gt;0,"Đang chạy","Chưa bắt đầu")))</f>
        <v/>
      </c>
    </row>
    <row r="10" ht="15" customHeight="1" s="38">
      <c r="A10" s="46" t="inlineStr">
        <is>
          <t>P5 - Ledger &amp; Finance</t>
        </is>
      </c>
      <c r="B10" s="47">
        <f>COUNTIFS(Backlog!$B$5:$B$135,$A10)</f>
        <v/>
      </c>
      <c r="C10" s="47">
        <f>COUNTIFS(Backlog!$B$5:$B$135,$A10,Backlog!$K$5:$K$135,"Đã xong")</f>
        <v/>
      </c>
      <c r="D10" s="47">
        <f>COUNTIFS(Backlog!$B$5:$B$135,$A10,Backlog!$K$5:$K$135,"Đang làm")</f>
        <v/>
      </c>
      <c r="E10" s="47">
        <f>COUNTIFS(Backlog!$B$5:$B$135,$A10,Backlog!$K$5:$K$135,"Chưa bắt đầu")</f>
        <v/>
      </c>
      <c r="F10" s="47">
        <f>COUNTIFS(Backlog!$B$5:$B$135,$A10,Backlog!$K$5:$K$135,"Bị chặn")</f>
        <v/>
      </c>
      <c r="G10" s="48">
        <f>SUMIFS(Backlog!$H$5:$H$135,Backlog!$B$5:$B$135,$A10)</f>
        <v/>
      </c>
      <c r="H10" s="48">
        <f>SUMIFS(Backlog!$M$5:$M$135,Backlog!$B$5:$B$135,$A10)</f>
        <v/>
      </c>
      <c r="I10" s="49">
        <f>IFERROR(1-H10/G10,1)</f>
        <v/>
      </c>
      <c r="J10" s="48">
        <f>IFERROR(ROUND(H10/$B$16,1),0)</f>
        <v/>
      </c>
      <c r="K10" s="46">
        <f>IF(F10&gt;0,"Có việc bị chặn",IF(I10&gt;=1,"Hoàn thành",IF(D10&gt;0,"Đang chạy","Chưa bắt đầu")))</f>
        <v/>
      </c>
    </row>
    <row r="11" ht="15" customHeight="1" s="38">
      <c r="A11" s="46" t="inlineStr">
        <is>
          <t>P6 - Partner &amp; Website</t>
        </is>
      </c>
      <c r="B11" s="47">
        <f>COUNTIFS(Backlog!$B$5:$B$135,$A11)</f>
        <v/>
      </c>
      <c r="C11" s="47">
        <f>COUNTIFS(Backlog!$B$5:$B$135,$A11,Backlog!$K$5:$K$135,"Đã xong")</f>
        <v/>
      </c>
      <c r="D11" s="47">
        <f>COUNTIFS(Backlog!$B$5:$B$135,$A11,Backlog!$K$5:$K$135,"Đang làm")</f>
        <v/>
      </c>
      <c r="E11" s="47">
        <f>COUNTIFS(Backlog!$B$5:$B$135,$A11,Backlog!$K$5:$K$135,"Chưa bắt đầu")</f>
        <v/>
      </c>
      <c r="F11" s="47">
        <f>COUNTIFS(Backlog!$B$5:$B$135,$A11,Backlog!$K$5:$K$135,"Bị chặn")</f>
        <v/>
      </c>
      <c r="G11" s="48">
        <f>SUMIFS(Backlog!$H$5:$H$135,Backlog!$B$5:$B$135,$A11)</f>
        <v/>
      </c>
      <c r="H11" s="48">
        <f>SUMIFS(Backlog!$M$5:$M$135,Backlog!$B$5:$B$135,$A11)</f>
        <v/>
      </c>
      <c r="I11" s="49">
        <f>IFERROR(1-H11/G11,1)</f>
        <v/>
      </c>
      <c r="J11" s="48">
        <f>IFERROR(ROUND(H11/$B$16,1),0)</f>
        <v/>
      </c>
      <c r="K11" s="46">
        <f>IF(F11&gt;0,"Có việc bị chặn",IF(I11&gt;=1,"Hoàn thành",IF(D11&gt;0,"Đang chạy","Chưa bắt đầu")))</f>
        <v/>
      </c>
    </row>
    <row r="12" ht="15" customHeight="1" s="38">
      <c r="A12" s="46" t="inlineStr">
        <is>
          <t>P7 - Hardening</t>
        </is>
      </c>
      <c r="B12" s="47">
        <f>COUNTIFS(Backlog!$B$5:$B$135,$A12)</f>
        <v/>
      </c>
      <c r="C12" s="47">
        <f>COUNTIFS(Backlog!$B$5:$B$135,$A12,Backlog!$K$5:$K$135,"Đã xong")</f>
        <v/>
      </c>
      <c r="D12" s="47">
        <f>COUNTIFS(Backlog!$B$5:$B$135,$A12,Backlog!$K$5:$K$135,"Đang làm")</f>
        <v/>
      </c>
      <c r="E12" s="47">
        <f>COUNTIFS(Backlog!$B$5:$B$135,$A12,Backlog!$K$5:$K$135,"Chưa bắt đầu")</f>
        <v/>
      </c>
      <c r="F12" s="47">
        <f>COUNTIFS(Backlog!$B$5:$B$135,$A12,Backlog!$K$5:$K$135,"Bị chặn")</f>
        <v/>
      </c>
      <c r="G12" s="48">
        <f>SUMIFS(Backlog!$H$5:$H$135,Backlog!$B$5:$B$135,$A12)</f>
        <v/>
      </c>
      <c r="H12" s="48">
        <f>SUMIFS(Backlog!$M$5:$M$135,Backlog!$B$5:$B$135,$A12)</f>
        <v/>
      </c>
      <c r="I12" s="49">
        <f>IFERROR(1-H12/G12,1)</f>
        <v/>
      </c>
      <c r="J12" s="48">
        <f>IFERROR(ROUND(H12/$B$16,1),0)</f>
        <v/>
      </c>
      <c r="K12" s="46">
        <f>IF(F12&gt;0,"Có việc bị chặn",IF(I12&gt;=1,"Hoàn thành",IF(D12&gt;0,"Đang chạy","Chưa bắt đầu")))</f>
        <v/>
      </c>
    </row>
    <row r="13" ht="15" customHeight="1" s="38">
      <c r="A13" s="50" t="inlineStr">
        <is>
          <t>TỔNG DỰ ÁN</t>
        </is>
      </c>
      <c r="B13" s="51">
        <f>SUM(B5:B12)</f>
        <v/>
      </c>
      <c r="C13" s="51">
        <f>SUM(C5:C12)</f>
        <v/>
      </c>
      <c r="D13" s="51">
        <f>SUM(D5:D12)</f>
        <v/>
      </c>
      <c r="E13" s="51">
        <f>SUM(E5:E12)</f>
        <v/>
      </c>
      <c r="F13" s="51">
        <f>SUM(F5:F12)</f>
        <v/>
      </c>
      <c r="G13" s="52">
        <f>SUM(G5:G12)</f>
        <v/>
      </c>
      <c r="H13" s="52">
        <f>SUM(H5:H12)</f>
        <v/>
      </c>
      <c r="I13" s="53">
        <f>IFERROR(1-H13/G13,0)</f>
        <v/>
      </c>
      <c r="J13" s="52">
        <f>IFERROR(ROUND(H13/$B$16,1),0)</f>
        <v/>
      </c>
      <c r="K13" s="50" t="n"/>
    </row>
    <row r="15" ht="15" customHeight="1" s="38">
      <c r="A15" s="44" t="inlineStr">
        <is>
          <t>GIẢ ĐỊNH TÍNH TOÁN</t>
        </is>
      </c>
    </row>
    <row r="16" ht="15" customHeight="1" s="38">
      <c r="A16" s="54" t="inlineStr">
        <is>
          <t>Năng lực đội mỗi sprint (ngày công)</t>
        </is>
      </c>
      <c r="B16" s="55">
        <f>'Đội ngũ'!F9</f>
        <v/>
      </c>
      <c r="C16" s="56" t="inlineStr">
        <is>
          <t>Tự lấy từ sheet Đội ngũ (tổng cột Năng lực thực). Sửa hệ số sẵn sàng ở sheet đó, số này tự đổi.</t>
        </is>
      </c>
    </row>
    <row r="17" ht="15" customHeight="1" s="38">
      <c r="A17" s="54" t="inlineStr">
        <is>
          <t>Độ dài sprint (tuần)</t>
        </is>
      </c>
      <c r="B17" s="57" t="n">
        <v>2</v>
      </c>
      <c r="C17" s="56" t="inlineStr">
        <is>
          <t>Chuẩn Scrum 2 tuần</t>
        </is>
      </c>
    </row>
    <row r="18" ht="15" customHeight="1" s="38">
      <c r="A18" s="54" t="inlineStr">
        <is>
          <t>Số người trong đội</t>
        </is>
      </c>
      <c r="B18" s="57" t="n">
        <v>4</v>
      </c>
      <c r="C18" s="56" t="inlineStr">
        <is>
          <t>TL, BE, MOB, FE(+QA) — theo lựa chọn đội nhỏ 3-4 người</t>
        </is>
      </c>
    </row>
    <row r="20" ht="15" customHeight="1" s="38">
      <c r="A20" s="54" t="inlineStr">
        <is>
          <t>Ước tính thời gian còn lại (sprint)</t>
        </is>
      </c>
      <c r="B20" s="58">
        <f>ROUND(H13/B16,1)</f>
        <v/>
      </c>
      <c r="C20" s="56" t="inlineStr">
        <is>
          <t>Ngày công còn lại chia cho năng lực mỗi sprint. Con số lý thuyết — chưa tính phụ thuộc tuần tự giữa các giai đoạn và điểm nghẽn mobile (xem sheet Rủi ro R1).</t>
        </is>
      </c>
    </row>
    <row r="21" ht="15" customHeight="1" s="38">
      <c r="A21" s="54" t="inlineStr">
        <is>
          <t>Ước tính thời gian còn lại (tuần)</t>
        </is>
      </c>
      <c r="B21" s="58">
        <f>ROUND(B20*B17,0)</f>
        <v/>
      </c>
    </row>
  </sheetData>
  <mergeCells count="2">
    <mergeCell ref="A2:K2"/>
    <mergeCell ref="A1:K1"/>
  </mergeCells>
  <conditionalFormatting sqref="I5:I12">
    <cfRule type="dataBar" priority="2">
      <dataBar minLength="10" maxLength="90" showValue="1">
        <cfvo type="num" val="0"/>
        <cfvo type="num" val="1"/>
        <color rgb="FF4472C4"/>
      </dataBar>
    </cfRule>
  </conditionalFormatting>
  <conditionalFormatting sqref="F5:F12">
    <cfRule type="cellIs" rank="0" priority="3" equalAverage="0" operator="greaterThan" aboveAverage="0" dxfId="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2" customWidth="1" style="37" min="1" max="1"/>
    <col width="15" customWidth="1" style="37" min="2" max="3"/>
    <col width="72" customWidth="1" style="37" min="4" max="4"/>
    <col width="40" customWidth="1" style="37" min="5" max="5"/>
  </cols>
  <sheetData>
    <row r="1" ht="24" customHeight="1" s="38">
      <c r="A1" s="39" t="inlineStr">
        <is>
          <t>HIỆN TRẠNG — Đánh giá thực tế từng phần hệ thống</t>
        </is>
      </c>
    </row>
    <row r="2" ht="15" customHeight="1" s="38">
      <c r="A2" s="40" t="inlineStr">
        <is>
          <t>Căn cứ: rà soát toàn bộ mã nguồn ~7.500 dòng trong repo Goan ngày 03/09/2026, đã chạy thật bộ test (51/51 pass). Không phải ước lượng cảm tính.</t>
        </is>
      </c>
    </row>
    <row r="4" ht="31.5" customHeight="1" s="38">
      <c r="A4" s="45" t="inlineStr">
        <is>
          <t>Thành phần hệ thống</t>
        </is>
      </c>
      <c r="B4" s="45" t="inlineStr">
        <is>
          <t>Đánh giá</t>
        </is>
      </c>
      <c r="C4" s="45" t="inlineStr">
        <is>
          <t>Mức hoàn thiện</t>
        </is>
      </c>
      <c r="D4" s="45" t="inlineStr">
        <is>
          <t>Căn cứ (đã đọc mã nguồn)</t>
        </is>
      </c>
      <c r="E4" s="45" t="inlineStr">
        <is>
          <t>Việc còn lại nằm ở đâu</t>
        </is>
      </c>
    </row>
    <row r="5" ht="15" customHeight="1" s="38">
      <c r="A5" s="59" t="inlineStr">
        <is>
          <t>Backend - Pricing engine</t>
        </is>
      </c>
      <c r="B5" s="60" t="inlineStr">
        <is>
          <t>Đã xong</t>
        </is>
      </c>
      <c r="C5" s="61" t="n">
        <v>1</v>
      </c>
      <c r="D5" s="59" t="inlineStr">
        <is>
          <t>148 dòng service + 170 dòng test, đúng biểu giá deck (3 khung giờ, phụ thu đón xa 20k)</t>
        </is>
      </c>
      <c r="E5" s="59" t="inlineStr">
        <is>
          <t>Không cần làm lại</t>
        </is>
      </c>
    </row>
    <row r="6" ht="15" customHeight="1" s="38">
      <c r="A6" s="59" t="inlineStr">
        <is>
          <t>Backend - Trip state machine</t>
        </is>
      </c>
      <c r="B6" s="60" t="inlineStr">
        <is>
          <t>Đã xong</t>
        </is>
      </c>
      <c r="C6" s="61" t="n">
        <v>1</v>
      </c>
      <c r="D6" s="59" t="inlineStr">
        <is>
          <t>Bảng transition rõ ràng, chặn cứng in_progress chỉ từ qr_verified</t>
        </is>
      </c>
      <c r="E6" s="59" t="inlineStr">
        <is>
          <t>Nền tảng chống đơn ma đã chắc</t>
        </is>
      </c>
    </row>
    <row r="7" ht="15" customHeight="1" s="38">
      <c r="A7" s="59" t="inlineStr">
        <is>
          <t>Backend - Vòng đời chuyến</t>
        </is>
      </c>
      <c r="B7" s="60" t="inlineStr">
        <is>
          <t>Đã xong</t>
        </is>
      </c>
      <c r="C7" s="61" t="n">
        <v>1</v>
      </c>
      <c r="D7" s="59" t="inlineStr">
        <is>
          <t>Chốt cước + escrow + payment trong 1 transaction; thêm trip_events, mốc /arrived, /rate, điều phối thủ công /ops/trips/{id}/assign-driver</t>
        </is>
      </c>
      <c r="E7" s="59" t="inlineStr">
        <is>
          <t>Không còn lỗ hổng ở P0</t>
        </is>
      </c>
    </row>
    <row r="8" ht="22.35" customHeight="1" s="38">
      <c r="A8" s="59" t="inlineStr">
        <is>
          <t>Backend - Matching</t>
        </is>
      </c>
      <c r="B8" s="60" t="inlineStr">
        <is>
          <t>Gần xong</t>
        </is>
      </c>
      <c r="C8" s="61" t="n">
        <v>0.95</v>
      </c>
      <c r="D8" s="59" t="inlineStr">
        <is>
          <t>Redis GEO, nới bán kính 5/8/12km, khoá SETNX chống race, gán thủ công từ ops đã có</t>
        </is>
      </c>
      <c r="E8" s="59" t="inlineStr">
        <is>
          <t>Thiếu: trợ cấp vùng mới (đã có khung)</t>
        </is>
      </c>
    </row>
    <row r="9" ht="15" customHeight="1" s="38">
      <c r="A9" s="59" t="inlineStr">
        <is>
          <t>Backend - Escrow (ký quỹ)</t>
        </is>
      </c>
      <c r="B9" s="60" t="inlineStr">
        <is>
          <t>Đã xong</t>
        </is>
      </c>
      <c r="C9" s="61" t="n">
        <v>0.95</v>
      </c>
      <c r="D9" s="59" t="inlineStr">
        <is>
          <t>Trích 15% payout, không vượt định mức, phạt cho phép âm, hoàn quỹ 45 ngày</t>
        </is>
      </c>
      <c r="E9" s="59" t="inlineStr">
        <is>
          <t>Thiếu: duyệt maker-checker khi hoàn quỹ</t>
        </is>
      </c>
    </row>
    <row r="10" ht="15" customHeight="1" s="38">
      <c r="A10" s="59" t="inlineStr">
        <is>
          <t>Backend - Anti-fraud</t>
        </is>
      </c>
      <c r="B10" s="60" t="inlineStr">
        <is>
          <t>Đã xong</t>
        </is>
      </c>
      <c r="C10" s="61" t="n">
        <v>0.95</v>
      </c>
      <c r="D10" s="59" t="inlineStr">
        <is>
          <t>Đủ 4 cơ chế: đơn ma, chạy vòng (cap 1.5x + phạt x2), thanh toán ngoài app, tráo tài xế</t>
        </is>
      </c>
      <c r="E10" s="59" t="inlineStr">
        <is>
          <t>Thiếu: màn hình xử lý cho Risk analyst</t>
        </is>
      </c>
    </row>
    <row r="11" ht="22.35" customHeight="1" s="38">
      <c r="A11" s="59" t="inlineStr">
        <is>
          <t>Backend - Payments</t>
        </is>
      </c>
      <c r="B11" s="60" t="inlineStr">
        <is>
          <t>Một nửa</t>
        </is>
      </c>
      <c r="C11" s="61" t="n">
        <v>0.45</v>
      </c>
      <c r="D11" s="59" t="inlineStr">
        <is>
          <t>Có ví pending/available, rút tiền, đối soát ngày. Nhưng gateway là mock, không double-entry, không payout theo kỳ</t>
        </is>
      </c>
      <c r="E11" s="59" t="inlineStr">
        <is>
          <t>P5 xử lý</t>
        </is>
      </c>
    </row>
    <row r="12" ht="15" customHeight="1" s="38">
      <c r="A12" s="59" t="inlineStr">
        <is>
          <t>Backend - Partners</t>
        </is>
      </c>
      <c r="B12" s="60" t="inlineStr">
        <is>
          <t>Một nửa</t>
        </is>
      </c>
      <c r="C12" s="61" t="n">
        <v>0.55</v>
      </c>
      <c r="D12" s="59" t="inlineStr">
        <is>
          <t>Model + QR + hoa hồng + hoá đơn (mock)</t>
        </is>
      </c>
      <c r="E12" s="59" t="inlineStr">
        <is>
          <t>Thiếu: đăng nhập đối tác, portal</t>
        </is>
      </c>
    </row>
    <row r="13" ht="15" customHeight="1" s="38">
      <c r="A13" s="59" t="inlineStr">
        <is>
          <t>Backend - WebSocket</t>
        </is>
      </c>
      <c r="B13" s="60" t="inlineStr">
        <is>
          <t>Gần xong</t>
        </is>
      </c>
      <c r="C13" s="61" t="n">
        <v>0.75</v>
      </c>
      <c r="D13" s="59" t="inlineStr">
        <is>
          <t>connection_manager + Redis pub/sub + kênh riêng cho Console (gom 3s/lần)</t>
        </is>
      </c>
      <c r="E13" s="59" t="inlineStr">
        <is>
          <t>Thiếu: đa topic cho chat (P2)</t>
        </is>
      </c>
    </row>
    <row r="14" ht="15" customHeight="1" s="38">
      <c r="A14" s="59" t="inlineStr">
        <is>
          <t>Backend - Auth</t>
        </is>
      </c>
      <c r="B14" s="60" t="inlineStr">
        <is>
          <t>Gần xong</t>
        </is>
      </c>
      <c r="C14" s="61" t="n">
        <v>0.85</v>
      </c>
      <c r="D14" s="59" t="inlineStr">
        <is>
          <t>OTP + JWT; access token 15 phút, xoay vòng refresh token + thu hồi cả phiên khi dùng lại token cũ, hạn mức OTP theo số điện thoại</t>
        </is>
      </c>
      <c r="E14" s="59" t="inlineStr">
        <is>
          <t>Thiếu: 2FA nội bộ cho nhân sự (P1)</t>
        </is>
      </c>
    </row>
    <row r="15" ht="15" customHeight="1" s="38">
      <c r="A15" s="59" t="inlineStr">
        <is>
          <t>Backend - Chat</t>
        </is>
      </c>
      <c r="B15" s="60" t="inlineStr">
        <is>
          <t>Chưa có</t>
        </is>
      </c>
      <c r="C15" s="61" t="n">
        <v>0</v>
      </c>
      <c r="D15" s="59" t="inlineStr">
        <is>
          <t>Không tồn tại trong code</t>
        </is>
      </c>
      <c r="E15" s="59" t="inlineStr">
        <is>
          <t>Toàn bộ P2</t>
        </is>
      </c>
    </row>
    <row r="16" ht="15" customHeight="1" s="38">
      <c r="A16" s="59" t="inlineStr">
        <is>
          <t>Backend - Support/Ticket</t>
        </is>
      </c>
      <c r="B16" s="60" t="inlineStr">
        <is>
          <t>Chưa có</t>
        </is>
      </c>
      <c r="C16" s="61" t="n">
        <v>0</v>
      </c>
      <c r="D16" s="59" t="inlineStr">
        <is>
          <t>Không tồn tại trong code</t>
        </is>
      </c>
      <c r="E16" s="59" t="inlineStr">
        <is>
          <t>Toàn bộ P2</t>
        </is>
      </c>
    </row>
    <row r="17" ht="15" customHeight="1" s="38">
      <c r="A17" s="59" t="inlineStr">
        <is>
          <t>Backend - IAM nội bộ</t>
        </is>
      </c>
      <c r="B17" s="60" t="inlineStr">
        <is>
          <t>Đã xong</t>
        </is>
      </c>
      <c r="C17" s="61" t="n">
        <v>0.95</v>
      </c>
      <c r="D17" s="59" t="inlineStr">
        <is>
          <t>domains/iam: 12 vai trò, quyền domain:action:scope, đăng nhập 2FA, maker-checker, che PII, API vận hành cho Console</t>
        </is>
      </c>
      <c r="E17" s="59" t="inlineStr">
        <is>
          <t>Thiếu: giao diện Console (P1-12…P1-19, phần frontend)</t>
        </is>
      </c>
    </row>
    <row r="18" ht="22.35" customHeight="1" s="38">
      <c r="A18" s="59" t="inlineStr">
        <is>
          <t>Backend - Tracking (lưu trữ)</t>
        </is>
      </c>
      <c r="B18" s="60" t="inlineStr">
        <is>
          <t>Một nửa</t>
        </is>
      </c>
      <c r="C18" s="61" t="n">
        <v>0.5</v>
      </c>
      <c r="D18" s="59" t="inlineStr">
        <is>
          <t>Ghi GPS từng điểm vào DB, có gps-history</t>
        </is>
      </c>
      <c r="E18" s="59" t="inlineStr">
        <is>
          <t>Thiếu: ghi theo lô, nén, chính sách lưu trữ, bản đồ đội</t>
        </is>
      </c>
    </row>
    <row r="19" ht="22.35" customHeight="1" s="38">
      <c r="A19" s="59" t="inlineStr">
        <is>
          <t>App khách (goan-customer-app)</t>
        </is>
      </c>
      <c r="B19" s="60" t="inlineStr">
        <is>
          <t>Một nửa</t>
        </is>
      </c>
      <c r="C19" s="61" t="n">
        <v>0.6</v>
      </c>
      <c r="D19" s="59" t="inlineStr">
        <is>
          <t>Đã viết lại tầng API, chạy thật với backend: 9/9 đường dẫn khớp openapi.json, tự làm mới token khi 401</t>
        </is>
      </c>
      <c r="E19" s="59" t="inlineStr">
        <is>
          <t>Thiếu: bản đồ, gợi ý địa chỉ, quét QR bằng camera, thanh toán, SOS</t>
        </is>
      </c>
    </row>
    <row r="20" ht="15" customHeight="1" s="38">
      <c r="A20" s="59" t="inlineStr">
        <is>
          <t>App tài xế</t>
        </is>
      </c>
      <c r="B20" s="60" t="inlineStr">
        <is>
          <t>Chưa có</t>
        </is>
      </c>
      <c r="C20" s="61" t="n">
        <v>0</v>
      </c>
      <c r="D20" s="59" t="inlineStr">
        <is>
          <t>Không tồn tại</t>
        </is>
      </c>
      <c r="E20" s="59" t="inlineStr">
        <is>
          <t>Toàn bộ P3 — phần rủi ro cao nhất</t>
        </is>
      </c>
    </row>
    <row r="21" ht="15" customHeight="1" s="38">
      <c r="A21" s="59" t="inlineStr">
        <is>
          <t>Console quản lý</t>
        </is>
      </c>
      <c r="B21" s="60" t="inlineStr">
        <is>
          <t>Đã xong</t>
        </is>
      </c>
      <c r="C21" s="61" t="n">
        <v>1</v>
      </c>
      <c r="D21" s="59" t="inlineStr">
        <is>
          <t>Đăng nhập 2FA + nhớ máy, bản đồ Live Ops real-time, duyệt tài xế, tra cứu chuyến + lộ trình, IAM + sửa quyền vai trò, hàng đợi phê duyệt, nhật ký</t>
        </is>
      </c>
      <c r="E21" s="59" t="inlineStr">
        <is>
          <t>Bổ sung theo nhu cầu vận hành thật</t>
        </is>
      </c>
    </row>
    <row r="22" ht="15" customHeight="1" s="38">
      <c r="A22" s="59" t="inlineStr">
        <is>
          <t>Partner Portal</t>
        </is>
      </c>
      <c r="B22" s="60" t="inlineStr">
        <is>
          <t>Chưa có</t>
        </is>
      </c>
      <c r="C22" s="61" t="n">
        <v>0</v>
      </c>
      <c r="D22" s="59" t="inlineStr">
        <is>
          <t>Không tồn tại</t>
        </is>
      </c>
      <c r="E22" s="59" t="inlineStr">
        <is>
          <t>P6</t>
        </is>
      </c>
    </row>
    <row r="23" ht="15" customHeight="1" s="38">
      <c r="A23" s="59" t="inlineStr">
        <is>
          <t>Website + CMS</t>
        </is>
      </c>
      <c r="B23" s="60" t="inlineStr">
        <is>
          <t>Chưa có</t>
        </is>
      </c>
      <c r="C23" s="61" t="n">
        <v>0</v>
      </c>
      <c r="D23" s="59" t="inlineStr">
        <is>
          <t>Không tồn tại</t>
        </is>
      </c>
      <c r="E23" s="59" t="inlineStr">
        <is>
          <t>P6</t>
        </is>
      </c>
    </row>
    <row r="24" ht="15" customHeight="1" s="38">
      <c r="A24" s="59" t="inlineStr">
        <is>
          <t>Hạ tầng CI/CD, staging</t>
        </is>
      </c>
      <c r="B24" s="60" t="inlineStr">
        <is>
          <t>Một nửa</t>
        </is>
      </c>
      <c r="C24" s="61" t="n">
        <v>0.6</v>
      </c>
      <c r="D24" s="59" t="inlineStr">
        <is>
          <t>CI 4 job xanh; secret quản lý bằng SOPS+age có cổng chặn tự động; toàn bộ stack đã chạy thật trên Postgres + Redis + Celery</t>
        </is>
      </c>
      <c r="E24" s="59" t="inlineStr">
        <is>
          <t>Thiếu: máy chủ staging (P0-10) và backup PITR (P0-18) — cần VPS</t>
        </is>
      </c>
    </row>
    <row r="25" ht="15" customHeight="1" s="38">
      <c r="A25" s="59" t="inlineStr">
        <is>
          <t>Kiểm thử tự động</t>
        </is>
      </c>
      <c r="B25" s="60" t="inlineStr">
        <is>
          <t>Gần xong</t>
        </is>
      </c>
      <c r="C25" s="61" t="n">
        <v>0.85</v>
      </c>
      <c r="D25" s="59" t="inlineStr">
        <is>
          <t>277 test backend + 7 test giao diện Console; smoke 22/22 và audit 76/76 chạy thật trên PostgreSQL</t>
        </is>
      </c>
      <c r="E25" s="59" t="inlineStr">
        <is>
          <t>Thiếu: E2E qua app trên staging</t>
        </is>
      </c>
    </row>
    <row r="26" ht="15" customHeight="1" s="38">
      <c r="A26" s="59" t="inlineStr">
        <is>
          <t>Tài liệu thiết kế</t>
        </is>
      </c>
      <c r="B26" s="60" t="inlineStr">
        <is>
          <t>Đã xong</t>
        </is>
      </c>
      <c r="C26" s="61" t="n">
        <v>1</v>
      </c>
      <c r="D26" s="59" t="inlineStr">
        <is>
          <t>4 tài liệu: kiến trúc, luồng thanh toán, phân định hệ thống, CLAUDE.md</t>
        </is>
      </c>
      <c r="E26" s="59" t="inlineStr">
        <is>
          <t>Cập nhật khi có quyết định mới</t>
        </is>
      </c>
    </row>
  </sheetData>
  <mergeCells count="2">
    <mergeCell ref="A2:E2"/>
    <mergeCell ref="A1:E1"/>
  </mergeCells>
  <conditionalFormatting sqref="C5:C26">
    <cfRule type="dataBar" priority="2">
      <dataBar minLength="10" maxLength="90" showValue="1">
        <cfvo type="num" val="0"/>
        <cfvo type="num" val="1"/>
        <color rgb="FF63C384"/>
      </dataBar>
    </cfRule>
  </conditionalFormatting>
  <conditionalFormatting sqref="B5:B26">
    <cfRule type="cellIs" rank="0" priority="3" equalAverage="0" operator="equal" aboveAverage="0" dxfId="0" text="" percent="0" bottom="0">
      <formula>"Chưa có"</formula>
    </cfRule>
    <cfRule type="cellIs" rank="0" priority="4" equalAverage="0" operator="equal" aboveAverage="0" dxfId="1" text="" percent="0" bottom="0">
      <formula>"Đã xong"</formula>
    </cfRule>
    <cfRule type="cellIs" rank="0" priority="5" equalAverage="0" operator="equal" aboveAverage="0" dxfId="2" text="" percent="0" bottom="0">
      <formula>"Phải làm lại"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137"/>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37" min="1" max="1"/>
    <col width="22" customWidth="1" style="37" min="2" max="2"/>
    <col width="12" customWidth="1" style="37" min="3" max="3"/>
    <col width="44" customWidth="1" style="37" min="4" max="5"/>
    <col width="7" customWidth="1" style="37" min="6" max="6"/>
    <col width="12" customWidth="1" style="37" min="7" max="7"/>
    <col width="9" customWidth="1" style="37" min="8" max="8"/>
    <col width="13" customWidth="1" style="37" min="9" max="9"/>
    <col width="22" customWidth="1" style="37" min="10" max="10"/>
    <col width="13" customWidth="1" style="37" min="11" max="11"/>
    <col width="9" customWidth="1" style="37" min="12" max="12"/>
    <col width="10" customWidth="1" style="37" min="13" max="13"/>
    <col width="8" customWidth="1" style="37" min="14" max="14"/>
    <col width="52" customWidth="1" style="37" min="15" max="15"/>
  </cols>
  <sheetData>
    <row r="1" ht="24" customHeight="1" s="38">
      <c r="A1" s="39" t="inlineStr">
        <is>
          <t>BACKLOG — Danh sách công việc</t>
        </is>
      </c>
    </row>
    <row r="2" ht="15" customHeight="1" s="38">
      <c r="A2" s="40" t="inlineStr">
        <is>
          <t>Chỉ cần cập nhật cột K (Trạng thái) và L (% hoàn thành). Cột M tự tính. Cột O ghi căn cứ đánh giá hiện trạng.</t>
        </is>
      </c>
    </row>
    <row r="4" ht="31.5" customHeight="1" s="38">
      <c r="A4" s="45" t="inlineStr">
        <is>
          <t>ID</t>
        </is>
      </c>
      <c r="B4" s="45" t="inlineStr">
        <is>
          <t>Giai đoạn</t>
        </is>
      </c>
      <c r="C4" s="45" t="inlineStr">
        <is>
          <t>Nhóm</t>
        </is>
      </c>
      <c r="D4" s="45" t="inlineStr">
        <is>
          <t>Công việc</t>
        </is>
      </c>
      <c r="E4" s="45" t="inlineStr">
        <is>
          <t>Định nghĩa hoàn thành (DoD)</t>
        </is>
      </c>
      <c r="F4" s="45" t="inlineStr">
        <is>
          <t>Vai trò</t>
        </is>
      </c>
      <c r="G4" s="45" t="inlineStr">
        <is>
          <t>Người làm</t>
        </is>
      </c>
      <c r="H4" s="45" t="inlineStr">
        <is>
          <t>Ước tính (ngày)</t>
        </is>
      </c>
      <c r="I4" s="45" t="inlineStr">
        <is>
          <t>Ưu tiên</t>
        </is>
      </c>
      <c r="J4" s="45" t="inlineStr">
        <is>
          <t>Phụ thuộc</t>
        </is>
      </c>
      <c r="K4" s="45" t="inlineStr">
        <is>
          <t>Trạng thái</t>
        </is>
      </c>
      <c r="L4" s="45" t="inlineStr">
        <is>
          <t>% hoàn thành</t>
        </is>
      </c>
      <c r="M4" s="45" t="inlineStr">
        <is>
          <t>Ngày công còn lại</t>
        </is>
      </c>
      <c r="N4" s="45" t="inlineStr">
        <is>
          <t>Sprint</t>
        </is>
      </c>
      <c r="O4" s="45" t="inlineStr">
        <is>
          <t>Căn cứ đánh giá / Ghi chú</t>
        </is>
      </c>
    </row>
    <row r="5" ht="43.25" customHeight="1" s="38">
      <c r="A5" s="62" t="inlineStr">
        <is>
          <t>P0-01</t>
        </is>
      </c>
      <c r="B5" s="59" t="inlineStr">
        <is>
          <t>P0 - Dọn nền</t>
        </is>
      </c>
      <c r="C5" s="59" t="inlineStr">
        <is>
          <t>Repo</t>
        </is>
      </c>
      <c r="D5" s="59" t="inlineStr">
        <is>
          <t>Quyết định &amp; xoá goan-backend (bản nháp cũ)</t>
        </is>
      </c>
      <c r="E5" s="59" t="inlineStr">
        <is>
          <t>Repo chỉ còn 1 backend; README ghi rõ lý do</t>
        </is>
      </c>
      <c r="F5" s="62" t="inlineStr">
        <is>
          <t>TL</t>
        </is>
      </c>
      <c r="G5" s="59" t="n"/>
      <c r="H5" s="63" t="n">
        <v>1</v>
      </c>
      <c r="I5" s="62" t="inlineStr">
        <is>
          <t>P0-Bắt buộc</t>
        </is>
      </c>
      <c r="J5" s="59" t="n"/>
      <c r="K5" s="62" t="inlineStr">
        <is>
          <t>Đã xong</t>
        </is>
      </c>
      <c r="L5" s="64" t="n">
        <v>1</v>
      </c>
      <c r="M5" s="63">
        <f>H5*(1-L5)</f>
        <v/>
      </c>
      <c r="N5" s="62" t="n"/>
      <c r="O5" s="59" t="inlineStr">
        <is>
          <t>03/09 XONG: đã xoá hẳn services/_deprecated-api-v0 khỏi repo sau khi app khách chuyển xong sang API mới (P4-12). Gỡ luôn các chỗ tài liệu còn trỏ tới nó.</t>
        </is>
      </c>
    </row>
    <row r="6" ht="32.8" customHeight="1" s="38">
      <c r="A6" s="62" t="inlineStr">
        <is>
          <t>P0-02</t>
        </is>
      </c>
      <c r="B6" s="59" t="inlineStr">
        <is>
          <t>P0 - Dọn nền</t>
        </is>
      </c>
      <c r="C6" s="59" t="inlineStr">
        <is>
          <t>Repo</t>
        </is>
      </c>
      <c r="D6" s="59" t="inlineStr">
        <is>
          <t>Dựng monorepo pnpm workspace + Turborepo</t>
        </is>
      </c>
      <c r="E6" s="59" t="inlineStr">
        <is>
          <t>pnpm i chạy được ở root; turbo build/lint/test xanh</t>
        </is>
      </c>
      <c r="F6" s="62" t="inlineStr">
        <is>
          <t>TL</t>
        </is>
      </c>
      <c r="G6" s="59" t="n"/>
      <c r="H6" s="63" t="n">
        <v>3</v>
      </c>
      <c r="I6" s="62" t="inlineStr">
        <is>
          <t>P0-Bắt buộc</t>
        </is>
      </c>
      <c r="J6" s="59" t="n"/>
      <c r="K6" s="62" t="inlineStr">
        <is>
          <t>Đã xong</t>
        </is>
      </c>
      <c r="L6" s="64" t="n">
        <v>1</v>
      </c>
      <c r="M6" s="63">
        <f>H6*(1-L6)</f>
        <v/>
      </c>
      <c r="N6" s="62" t="n"/>
      <c r="O6" s="59" t="inlineStr">
        <is>
          <t>03/09 XONG: pnpm-workspace.yaml + turbo.json + .editorconfig + README. pnpm install xanh (244 gói), pnpm-lock.yaml đã commit, pnpm build xanh</t>
        </is>
      </c>
    </row>
    <row r="7" ht="22.35" customHeight="1" s="38">
      <c r="A7" s="62" t="inlineStr">
        <is>
          <t>P0-03</t>
        </is>
      </c>
      <c r="B7" s="59" t="inlineStr">
        <is>
          <t>P0 - Dọn nền</t>
        </is>
      </c>
      <c r="C7" s="59" t="inlineStr">
        <is>
          <t>Repo</t>
        </is>
      </c>
      <c r="D7" s="59" t="inlineStr">
        <is>
          <t>Di chuyển goan-backend-spec → services/api</t>
        </is>
      </c>
      <c r="E7" s="59" t="inlineStr">
        <is>
          <t>CI xanh sau khi đổi đường dẫn; import không gãy</t>
        </is>
      </c>
      <c r="F7" s="62" t="inlineStr">
        <is>
          <t>BE</t>
        </is>
      </c>
      <c r="G7" s="59" t="n"/>
      <c r="H7" s="63" t="n">
        <v>1</v>
      </c>
      <c r="I7" s="62" t="inlineStr">
        <is>
          <t>P0-Bắt buộc</t>
        </is>
      </c>
      <c r="J7" s="59" t="inlineStr">
        <is>
          <t>Dựng monorepo</t>
        </is>
      </c>
      <c r="K7" s="62" t="inlineStr">
        <is>
          <t>Đã xong</t>
        </is>
      </c>
      <c r="L7" s="64" t="n">
        <v>1</v>
      </c>
      <c r="M7" s="63">
        <f>H7*(1-L7)</f>
        <v/>
      </c>
      <c r="N7" s="62" t="n"/>
      <c r="O7" s="59" t="inlineStr">
        <is>
          <t>03/09 XONG: 181 file đổi đường dẫn, 51/51 test vẫn xanh. goan-customer-app → apps/customer-web (@goan/customer-web)</t>
        </is>
      </c>
    </row>
    <row r="8" ht="22.35" customHeight="1" s="38">
      <c r="A8" s="62" t="inlineStr">
        <is>
          <t>P0-04</t>
        </is>
      </c>
      <c r="B8" s="59" t="inlineStr">
        <is>
          <t>P0 - Dọn nền</t>
        </is>
      </c>
      <c r="C8" s="59" t="inlineStr">
        <is>
          <t>Repo</t>
        </is>
      </c>
      <c r="D8" s="59" t="inlineStr">
        <is>
          <t>Gom 4 file .md vào docs/</t>
        </is>
      </c>
      <c r="E8" s="59" t="inlineStr">
        <is>
          <t>docs/ có đủ 4 tài liệu, README root trỏ tới</t>
        </is>
      </c>
      <c r="F8" s="62" t="inlineStr">
        <is>
          <t>TL</t>
        </is>
      </c>
      <c r="G8" s="59" t="n"/>
      <c r="H8" s="63" t="n">
        <v>0.5</v>
      </c>
      <c r="I8" s="62" t="inlineStr">
        <is>
          <t>P2-Trung bình</t>
        </is>
      </c>
      <c r="J8" s="59" t="inlineStr">
        <is>
          <t>Dựng monorepo</t>
        </is>
      </c>
      <c r="K8" s="62" t="inlineStr">
        <is>
          <t>Đã xong</t>
        </is>
      </c>
      <c r="L8" s="64" t="n">
        <v>1</v>
      </c>
      <c r="M8" s="63">
        <f>H8*(1-L8)</f>
        <v/>
      </c>
      <c r="N8" s="62" t="n"/>
      <c r="O8" s="59" t="inlineStr">
        <is>
          <t>03/09 XONG: docs/ có 3 tài liệu + file tracker này. README root có bảng dẫn đường</t>
        </is>
      </c>
    </row>
    <row r="9" ht="32.8" customHeight="1" s="38">
      <c r="A9" s="62" t="inlineStr">
        <is>
          <t>P0-05</t>
        </is>
      </c>
      <c r="B9" s="59" t="inlineStr">
        <is>
          <t>P0 - Dọn nền</t>
        </is>
      </c>
      <c r="C9" s="59" t="inlineStr">
        <is>
          <t>Backend</t>
        </is>
      </c>
      <c r="D9" s="59" t="inlineStr">
        <is>
          <t>Chuẩn hoá lint/type: ruff + mypy strict cho services/api</t>
        </is>
      </c>
      <c r="E9" s="59" t="inlineStr">
        <is>
          <t>0 lỗi ruff, mypy pass ở mức strict cho domains/</t>
        </is>
      </c>
      <c r="F9" s="62" t="inlineStr">
        <is>
          <t>BE</t>
        </is>
      </c>
      <c r="G9" s="59" t="n"/>
      <c r="H9" s="63" t="n">
        <v>2</v>
      </c>
      <c r="I9" s="62" t="inlineStr">
        <is>
          <t>P1-Cao</t>
        </is>
      </c>
      <c r="J9" s="59" t="n"/>
      <c r="K9" s="62" t="inlineStr">
        <is>
          <t>Đã xong</t>
        </is>
      </c>
      <c r="L9" s="64" t="n">
        <v>1</v>
      </c>
      <c r="M9" s="63">
        <f>H9*(1-L9)</f>
        <v/>
      </c>
      <c r="N9" s="62" t="n"/>
      <c r="O9" s="59" t="inlineStr">
        <is>
          <t>03/09 XONG: ruff (E,F,I,UP,B,C4,SIM,ASYNC) sạch sau khi sửa 92 lỗi; ruff format toàn bộ; mypy SẠCH 78 file. Sửa được 3 bug tiềm ẩn thật — xem sheet Nhật ký</t>
        </is>
      </c>
    </row>
    <row r="10" ht="32.8" customHeight="1" s="38">
      <c r="A10" s="62" t="inlineStr">
        <is>
          <t>P0-06</t>
        </is>
      </c>
      <c r="B10" s="59" t="inlineStr">
        <is>
          <t>P0 - Dọn nền</t>
        </is>
      </c>
      <c r="C10" s="59" t="inlineStr">
        <is>
          <t>Backend</t>
        </is>
      </c>
      <c r="D10" s="59" t="inlineStr">
        <is>
          <t>Sinh OpenAPI → packages/api-client (TypeScript SDK)</t>
        </is>
      </c>
      <c r="E10" s="59" t="inlineStr">
        <is>
          <t>Chạy 1 lệnh sinh lại SDK; CI đỏ nếu SDK lệch backend</t>
        </is>
      </c>
      <c r="F10" s="62" t="inlineStr">
        <is>
          <t>BE</t>
        </is>
      </c>
      <c r="G10" s="59" t="n"/>
      <c r="H10" s="63" t="n">
        <v>3</v>
      </c>
      <c r="I10" s="62" t="inlineStr">
        <is>
          <t>P0-Bắt buộc</t>
        </is>
      </c>
      <c r="J10" s="59" t="inlineStr">
        <is>
          <t>Di chuyển services/api</t>
        </is>
      </c>
      <c r="K10" s="62" t="inlineStr">
        <is>
          <t>Đã xong</t>
        </is>
      </c>
      <c r="L10" s="64" t="n">
        <v>1</v>
      </c>
      <c r="M10" s="63">
        <f>H10*(1-L10)</f>
        <v/>
      </c>
      <c r="N10" s="62" t="n"/>
      <c r="O10" s="59" t="inlineStr">
        <is>
          <t>03/09 XONG: export_openapi.py xuất 33 đường dẫn / 54 schema; openapi-typescript sinh schema.d.ts 2.168 dòng; @goan/api-client typecheck sạch; CI có job so sánh chống lệch</t>
        </is>
      </c>
    </row>
    <row r="11" ht="32.8" customHeight="1" s="38">
      <c r="A11" s="62" t="inlineStr">
        <is>
          <t>P0-07</t>
        </is>
      </c>
      <c r="B11" s="59" t="inlineStr">
        <is>
          <t>P0 - Dọn nền</t>
        </is>
      </c>
      <c r="C11" s="59" t="inlineStr">
        <is>
          <t>DevOps</t>
        </is>
      </c>
      <c r="D11" s="59" t="inlineStr">
        <is>
          <t>GitHub Actions: lint + typecheck + pytest + build</t>
        </is>
      </c>
      <c r="E11" s="59" t="inlineStr">
        <is>
          <t>PR không merge được khi CI đỏ</t>
        </is>
      </c>
      <c r="F11" s="62" t="inlineStr">
        <is>
          <t>TL</t>
        </is>
      </c>
      <c r="G11" s="59" t="n"/>
      <c r="H11" s="63" t="n">
        <v>3</v>
      </c>
      <c r="I11" s="62" t="inlineStr">
        <is>
          <t>P0-Bắt buộc</t>
        </is>
      </c>
      <c r="J11" s="59" t="inlineStr">
        <is>
          <t>Dựng monorepo</t>
        </is>
      </c>
      <c r="K11" s="62" t="inlineStr">
        <is>
          <t>Đang làm</t>
        </is>
      </c>
      <c r="L11" s="64" t="n">
        <v>0.9</v>
      </c>
      <c r="M11" s="63">
        <f>H11*(1-L11)</f>
        <v/>
      </c>
      <c r="N11" s="62" t="n"/>
      <c r="O11" s="59" t="inlineStr">
        <is>
          <t>03/09: CI 5 bước xanh (secret, lint, type, test+độ phủ, money, security) + 3 job khác. Còn: bật branch protection trên giao diện GitHub — thao tác ngoài repo.</t>
        </is>
      </c>
    </row>
    <row r="12" ht="32.8" customHeight="1" s="38">
      <c r="A12" s="62" t="inlineStr">
        <is>
          <t>P0-08</t>
        </is>
      </c>
      <c r="B12" s="59" t="inlineStr">
        <is>
          <t>P0 - Dọn nền</t>
        </is>
      </c>
      <c r="C12" s="59" t="inlineStr">
        <is>
          <t>DevOps</t>
        </is>
      </c>
      <c r="D12" s="59" t="inlineStr">
        <is>
          <t>CI kiểm tra model vs migration (alembic check)</t>
        </is>
      </c>
      <c r="E12" s="59" t="inlineStr">
        <is>
          <t>Sửa model mà quên migration → CI đỏ</t>
        </is>
      </c>
      <c r="F12" s="62" t="inlineStr">
        <is>
          <t>BE</t>
        </is>
      </c>
      <c r="G12" s="59" t="n"/>
      <c r="H12" s="63" t="n">
        <v>2</v>
      </c>
      <c r="I12" s="62" t="inlineStr">
        <is>
          <t>P1-Cao</t>
        </is>
      </c>
      <c r="J12" s="59" t="inlineStr">
        <is>
          <t>GitHub Actions</t>
        </is>
      </c>
      <c r="K12" s="62" t="inlineStr">
        <is>
          <t>Đã xong</t>
        </is>
      </c>
      <c r="L12" s="64" t="n">
        <v>1</v>
      </c>
      <c r="M12" s="63">
        <f>H12*(1-L12)</f>
        <v/>
      </c>
      <c r="N12" s="62" t="n"/>
      <c r="O12" s="59" t="inlineStr">
        <is>
          <t>03/09 XONG: alembic upgrade head + alembic check chạy sạch trên Postgres 16 + PostGIS. Sửa lỗi enum tạo hai lần ở 0003/0005/0006 và gộp ràng buộc users.phone (0007). Đã kiểm chứng cả downgrade base rồi upgrade lại.</t>
        </is>
      </c>
    </row>
    <row r="13" ht="22.35" customHeight="1" s="38">
      <c r="A13" s="62" t="inlineStr">
        <is>
          <t>P0-09</t>
        </is>
      </c>
      <c r="B13" s="59" t="inlineStr">
        <is>
          <t>P0 - Dọn nền</t>
        </is>
      </c>
      <c r="C13" s="59" t="inlineStr">
        <is>
          <t>DevOps</t>
        </is>
      </c>
      <c r="D13" s="59" t="inlineStr">
        <is>
          <t>Docker Compose dev đầy đủ (api, postgres+postgis, redis, celery worker/beat)</t>
        </is>
      </c>
      <c r="E13" s="59" t="inlineStr">
        <is>
          <t>docker compose up chạy được toàn bộ stack</t>
        </is>
      </c>
      <c r="F13" s="62" t="inlineStr">
        <is>
          <t>TL</t>
        </is>
      </c>
      <c r="G13" s="59" t="n"/>
      <c r="H13" s="63" t="n">
        <v>2</v>
      </c>
      <c r="I13" s="62" t="inlineStr">
        <is>
          <t>P1-Cao</t>
        </is>
      </c>
      <c r="J13" s="59" t="n"/>
      <c r="K13" s="62" t="inlineStr">
        <is>
          <t>Đã xong</t>
        </is>
      </c>
      <c r="L13" s="64" t="n">
        <v>1</v>
      </c>
      <c r="M13" s="63">
        <f>H13*(1-L13)</f>
        <v/>
      </c>
      <c r="N13" s="62" t="n"/>
      <c r="O13" s="59" t="inlineStr">
        <is>
          <t>03/09 XONG: chạy thật đủ bộ dịch vụ (Postgres 16 + PostGIS, Redis, uvicorn, celery worker kèm beat). /health + /ready xanh, smoke 22/22, audit 76/76. docker compose config hợp lệ; lệnh `docker compose up` chưa chạy được vì môi trường phiên làm việc không có Docker daemon.</t>
        </is>
      </c>
    </row>
    <row r="14" ht="15" customHeight="1" s="38">
      <c r="A14" s="62" t="inlineStr">
        <is>
          <t>P0-10</t>
        </is>
      </c>
      <c r="B14" s="59" t="inlineStr">
        <is>
          <t>P0 - Dọn nền</t>
        </is>
      </c>
      <c r="C14" s="59" t="inlineStr">
        <is>
          <t>DevOps</t>
        </is>
      </c>
      <c r="D14" s="59" t="inlineStr">
        <is>
          <t>Dựng môi trường staging (VPS + domain + TLS)</t>
        </is>
      </c>
      <c r="E14" s="59" t="inlineStr">
        <is>
          <t>Deploy tự động từ nhánh main lên staging</t>
        </is>
      </c>
      <c r="F14" s="62" t="inlineStr">
        <is>
          <t>TL</t>
        </is>
      </c>
      <c r="G14" s="59" t="n"/>
      <c r="H14" s="63" t="n">
        <v>5</v>
      </c>
      <c r="I14" s="62" t="inlineStr">
        <is>
          <t>P0-Bắt buộc</t>
        </is>
      </c>
      <c r="J14" s="59" t="inlineStr">
        <is>
          <t>GitHub Actions</t>
        </is>
      </c>
      <c r="K14" s="62" t="inlineStr">
        <is>
          <t>Đang làm</t>
        </is>
      </c>
      <c r="L14" s="64" t="n">
        <v>0.7</v>
      </c>
      <c r="M14" s="63">
        <f>H14*(1-L14)</f>
        <v/>
      </c>
      <c r="N14" s="62" t="n"/>
      <c r="O14" s="59" t="inlineStr">
        <is>
          <t>03/09: deploy/ có đủ docker-compose.prod.yml (api + worker + beat riêng + postgres WAL archiving + redis + Caddy TLS tự động), Caddyfile chặn /metrics ra ngoài, README ghi từng lệnh. CÒN LẠI: mua VPS + trỏ tên miền rồi chạy — phần này nằm ngoài repo.</t>
        </is>
      </c>
    </row>
    <row r="15" ht="22.35" customHeight="1" s="38">
      <c r="A15" s="62" t="inlineStr">
        <is>
          <t>P0-11</t>
        </is>
      </c>
      <c r="B15" s="59" t="inlineStr">
        <is>
          <t>P0 - Dọn nền</t>
        </is>
      </c>
      <c r="C15" s="59" t="inlineStr">
        <is>
          <t>DevOps</t>
        </is>
      </c>
      <c r="D15" s="59" t="inlineStr">
        <is>
          <t>Quản lý secret (SOPS hoặc Doppler), gỡ secret khỏi .env trong repo</t>
        </is>
      </c>
      <c r="E15" s="59" t="inlineStr">
        <is>
          <t>Không còn secret nào trong git; khoá tách theo môi trường</t>
        </is>
      </c>
      <c r="F15" s="62" t="inlineStr">
        <is>
          <t>TL</t>
        </is>
      </c>
      <c r="G15" s="59" t="n"/>
      <c r="H15" s="63" t="n">
        <v>2</v>
      </c>
      <c r="I15" s="62" t="inlineStr">
        <is>
          <t>P0-Bắt buộc</t>
        </is>
      </c>
      <c r="J15" s="59" t="n"/>
      <c r="K15" s="62" t="inlineStr">
        <is>
          <t>Đã xong</t>
        </is>
      </c>
      <c r="L15" s="64" t="n">
        <v>1</v>
      </c>
      <c r="M15" s="63">
        <f>H15*(1-L15)</f>
        <v/>
      </c>
      <c r="N15" s="62" t="n"/>
      <c r="O15" s="59" t="inlineStr">
        <is>
          <t>03/09 XONG: SOPS + age. .sops.yaml + make secrets-init/new/edit/decrypt/add-key. scripts/check_secrets.py chặn .env chữ thường, khoá riêng và giá trị trông như secret — chạy trong make check và trong CI. Đã thử toàn bộ vòng mã hoá/giải mã.</t>
        </is>
      </c>
    </row>
    <row r="16" ht="64.15000000000001" customHeight="1" s="38">
      <c r="A16" s="62" t="inlineStr">
        <is>
          <t>P0-12</t>
        </is>
      </c>
      <c r="B16" s="59" t="inlineStr">
        <is>
          <t>P0 - Dọn nền</t>
        </is>
      </c>
      <c r="C16" s="59" t="inlineStr">
        <is>
          <t>Backend</t>
        </is>
      </c>
      <c r="D16" s="59" t="inlineStr">
        <is>
          <t>Nâng cấp rate limit: cửa sổ trượt + hạn mức riêng theo endpoint</t>
        </is>
      </c>
      <c r="E16" s="59" t="inlineStr">
        <is>
          <t>Không lách được ở ranh giới phút; OTP có hạn mức riêng</t>
        </is>
      </c>
      <c r="F16" s="62" t="inlineStr">
        <is>
          <t>BE</t>
        </is>
      </c>
      <c r="G16" s="59" t="n"/>
      <c r="H16" s="63" t="n">
        <v>3</v>
      </c>
      <c r="I16" s="62" t="inlineStr">
        <is>
          <t>P0-Bắt buộc</t>
        </is>
      </c>
      <c r="J16" s="59" t="n"/>
      <c r="K16" s="62" t="inlineStr">
        <is>
          <t>Đã xong</t>
        </is>
      </c>
      <c r="L16" s="64" t="n">
        <v>1</v>
      </c>
      <c r="M16" s="63">
        <f>H16*(1-L16)</f>
        <v/>
      </c>
      <c r="N16" s="62" t="n"/>
      <c r="O16" s="59" t="inlineStr">
        <is>
          <t>SỬA ĐÁNH GIÁ TRƯỚC: rate limit vốn ĐÃ dùng Redis, không phải in-process — đánh giá ban đầu sai. Vấn đề thật là cửa sổ cố định theo phút cho gửi gấp đôi hạn mức quanh ranh giới. 03/09 XONG: đổi sang ZSET cửa sổ trượt, thêm hạn mức riêng request-otp 5/5phút, verify-otp 10/5phút, tạo chuyến 20/phút, kèm header X-RateLimit-*</t>
        </is>
      </c>
    </row>
    <row r="17" ht="43.25" customHeight="1" s="38">
      <c r="A17" s="62" t="inlineStr">
        <is>
          <t>P0-13</t>
        </is>
      </c>
      <c r="B17" s="59" t="inlineStr">
        <is>
          <t>P0 - Dọn nền</t>
        </is>
      </c>
      <c r="C17" s="59" t="inlineStr">
        <is>
          <t>Backend</t>
        </is>
      </c>
      <c r="D17" s="59" t="inlineStr">
        <is>
          <t>Middleware Idempotency-Key dùng chung cho mọi POST chạm tiền</t>
        </is>
      </c>
      <c r="E17" s="59" t="inlineStr">
        <is>
          <t>Gửi trùng request không tạo 2 bản ghi; lưu Redis 24h</t>
        </is>
      </c>
      <c r="F17" s="62" t="inlineStr">
        <is>
          <t>BE</t>
        </is>
      </c>
      <c r="G17" s="59" t="n"/>
      <c r="H17" s="63" t="n">
        <v>3</v>
      </c>
      <c r="I17" s="62" t="inlineStr">
        <is>
          <t>P0-Bắt buộc</t>
        </is>
      </c>
      <c r="J17" s="59" t="n"/>
      <c r="K17" s="62" t="inlineStr">
        <is>
          <t>Đã xong</t>
        </is>
      </c>
      <c r="L17" s="64" t="n">
        <v>1</v>
      </c>
      <c r="M17" s="63">
        <f>H17*(1-L17)</f>
        <v/>
      </c>
      <c r="N17" s="62" t="n"/>
      <c r="O17" s="59" t="inlineStr">
        <is>
          <t>03/09 XONG: core/idempotency.py bảo vệ 5 nhóm endpoint (tạo chuyến, complete, cancel, withdraw, accept). Gửi trùng phát lại response cũ; bản gốc đang chạy trả 409. Chỉ cache kết quả thành công. 16 test QA-IDM</t>
        </is>
      </c>
    </row>
    <row r="18" ht="43.25" customHeight="1" s="38">
      <c r="A18" s="62" t="inlineStr">
        <is>
          <t>P0-14</t>
        </is>
      </c>
      <c r="B18" s="59" t="inlineStr">
        <is>
          <t>P0 - Dọn nền</t>
        </is>
      </c>
      <c r="C18" s="59" t="inlineStr">
        <is>
          <t>Backend</t>
        </is>
      </c>
      <c r="D18" s="59" t="inlineStr">
        <is>
          <t>Xoay vòng refresh token + danh sách thu hồi</t>
        </is>
      </c>
      <c r="E18" s="59" t="inlineStr">
        <is>
          <t>Dùng lại refresh cũ → thu hồi cả họ token</t>
        </is>
      </c>
      <c r="F18" s="62" t="inlineStr">
        <is>
          <t>BE</t>
        </is>
      </c>
      <c r="G18" s="59" t="n"/>
      <c r="H18" s="63" t="n">
        <v>4</v>
      </c>
      <c r="I18" s="62" t="inlineStr">
        <is>
          <t>P0-Bắt buộc</t>
        </is>
      </c>
      <c r="J18" s="59" t="n"/>
      <c r="K18" s="62" t="inlineStr">
        <is>
          <t>Đã xong</t>
        </is>
      </c>
      <c r="L18" s="64" t="n">
        <v>1</v>
      </c>
      <c r="M18" s="63">
        <f>H18*(1-L18)</f>
        <v/>
      </c>
      <c r="N18" s="62" t="n"/>
      <c r="O18" s="59" t="inlineStr">
        <is>
          <t>03/09 XONG: theo OAuth 2.0 BCP §4.13. Mỗi lần đăng nhập = 1 họ token; dùng lại token đã tiêu thì thu hồi cả họ. Token cũ chưa có fam được nâng cấp 1 lần nên deploy không đá hết người dùng. Thêm POST /auth/logout. 9 test QA-AUTH</t>
        </is>
      </c>
    </row>
    <row r="19" ht="32.8" customHeight="1" s="38">
      <c r="A19" s="62" t="inlineStr">
        <is>
          <t>P0-15</t>
        </is>
      </c>
      <c r="B19" s="59" t="inlineStr">
        <is>
          <t>P0 - Dọn nền</t>
        </is>
      </c>
      <c r="C19" s="59" t="inlineStr">
        <is>
          <t>Backend</t>
        </is>
      </c>
      <c r="D19" s="59" t="inlineStr">
        <is>
          <t>Rút access token 60 phút → 15 phút, client tự refresh</t>
        </is>
      </c>
      <c r="E19" s="59" t="inlineStr">
        <is>
          <t>App không bị đăng xuất đột ngột khi token hết hạn</t>
        </is>
      </c>
      <c r="F19" s="62" t="inlineStr">
        <is>
          <t>BE</t>
        </is>
      </c>
      <c r="G19" s="59" t="n"/>
      <c r="H19" s="63" t="n">
        <v>1</v>
      </c>
      <c r="I19" s="62" t="inlineStr">
        <is>
          <t>P0-Bắt buộc</t>
        </is>
      </c>
      <c r="J19" s="59" t="inlineStr">
        <is>
          <t>Xoay vòng refresh token</t>
        </is>
      </c>
      <c r="K19" s="62" t="inlineStr">
        <is>
          <t>Đã xong</t>
        </is>
      </c>
      <c r="L19" s="64" t="n">
        <v>1</v>
      </c>
      <c r="M19" s="63">
        <f>H19*(1-L19)</f>
        <v/>
      </c>
      <c r="N19" s="62" t="n"/>
      <c r="O19" s="59" t="inlineStr">
        <is>
          <t>03/09 XONG phía backend (ACCESS_TOKEN_EXPIRE_MINUTES = 15). LƯU Ý: apps/customer-web hiện gặp 401 là đăng xuất luôn — phải làm auto-refresh cùng lúc chuyển sang @goan/api-client (P4-12)</t>
        </is>
      </c>
    </row>
    <row r="20" ht="32.8" customHeight="1" s="38">
      <c r="A20" s="62" t="inlineStr">
        <is>
          <t>P0-16</t>
        </is>
      </c>
      <c r="B20" s="59" t="inlineStr">
        <is>
          <t>P0 - Dọn nền</t>
        </is>
      </c>
      <c r="C20" s="59" t="inlineStr">
        <is>
          <t>DevOps</t>
        </is>
      </c>
      <c r="D20" s="59" t="inlineStr">
        <is>
          <t>Sentry + OpenTelemetry trace + Prometheus metrics</t>
        </is>
      </c>
      <c r="E20" s="59" t="inlineStr">
        <is>
          <t>Xem được trace 1 request xuyên suốt; alert lỗi về Slack</t>
        </is>
      </c>
      <c r="F20" s="62" t="inlineStr">
        <is>
          <t>TL</t>
        </is>
      </c>
      <c r="G20" s="59" t="n"/>
      <c r="H20" s="63" t="n">
        <v>4</v>
      </c>
      <c r="I20" s="62" t="inlineStr">
        <is>
          <t>P1-Cao</t>
        </is>
      </c>
      <c r="J20" s="59" t="inlineStr">
        <is>
          <t>Dựng staging</t>
        </is>
      </c>
      <c r="K20" s="62" t="inlineStr">
        <is>
          <t>Đã xong</t>
        </is>
      </c>
      <c r="L20" s="64" t="n">
        <v>1</v>
      </c>
      <c r="M20" s="63">
        <f>H20*(1-L20)</f>
        <v/>
      </c>
      <c r="N20" s="62" t="n"/>
      <c r="O20" s="59" t="inlineStr">
        <is>
          <t>03/09 XONG: Prometheus /metrics (nhãn theo template route, khoá bằng METRICS_TOKEN), OTel trace tuỳ chọn, Sentry theo DSN, X-Request-ID xuyên log/audit. Alert Slack nối khi có staging.</t>
        </is>
      </c>
    </row>
    <row r="21" ht="22.35" customHeight="1" s="38">
      <c r="A21" s="62" t="inlineStr">
        <is>
          <t>P0-17</t>
        </is>
      </c>
      <c r="B21" s="59" t="inlineStr">
        <is>
          <t>P0 - Dọn nền</t>
        </is>
      </c>
      <c r="C21" s="59" t="inlineStr">
        <is>
          <t>Backend</t>
        </is>
      </c>
      <c r="D21" s="59" t="inlineStr">
        <is>
          <t>Tách /health (liveness) và /ready (readiness có DB+Redis)</t>
        </is>
      </c>
      <c r="E21" s="59" t="inlineStr">
        <is>
          <t>K8s/LB dùng đúng probe</t>
        </is>
      </c>
      <c r="F21" s="62" t="inlineStr">
        <is>
          <t>BE</t>
        </is>
      </c>
      <c r="G21" s="59" t="n"/>
      <c r="H21" s="63" t="n">
        <v>1</v>
      </c>
      <c r="I21" s="62" t="inlineStr">
        <is>
          <t>P2-Trung bình</t>
        </is>
      </c>
      <c r="J21" s="59" t="n"/>
      <c r="K21" s="62" t="inlineStr">
        <is>
          <t>Đã xong</t>
        </is>
      </c>
      <c r="L21" s="64" t="n">
        <v>1</v>
      </c>
      <c r="M21" s="63">
        <f>H21*(1-L21)</f>
        <v/>
      </c>
      <c r="N21" s="62" t="n"/>
      <c r="O21" s="59" t="inlineStr">
        <is>
          <t>03/09 XONG: /health không chạm DB (tránh restart container vô ích khi DB sự cố); /ready kiểm DB+Redis và trả 503 khi chưa sẵn sàng</t>
        </is>
      </c>
    </row>
    <row r="22" ht="15" customHeight="1" s="38">
      <c r="A22" s="62" t="inlineStr">
        <is>
          <t>P0-18</t>
        </is>
      </c>
      <c r="B22" s="59" t="inlineStr">
        <is>
          <t>P0 - Dọn nền</t>
        </is>
      </c>
      <c r="C22" s="59" t="inlineStr">
        <is>
          <t>DevOps</t>
        </is>
      </c>
      <c r="D22" s="59" t="inlineStr">
        <is>
          <t>Backup PostgreSQL daily + PITR</t>
        </is>
      </c>
      <c r="E22" s="59" t="inlineStr">
        <is>
          <t>Khôi phục thử thành công về 1 thời điểm bất kỳ</t>
        </is>
      </c>
      <c r="F22" s="62" t="inlineStr">
        <is>
          <t>TL</t>
        </is>
      </c>
      <c r="G22" s="59" t="n"/>
      <c r="H22" s="63" t="n">
        <v>3</v>
      </c>
      <c r="I22" s="62" t="inlineStr">
        <is>
          <t>P0-Bắt buộc</t>
        </is>
      </c>
      <c r="J22" s="59" t="inlineStr">
        <is>
          <t>Dựng staging</t>
        </is>
      </c>
      <c r="K22" s="62" t="inlineStr">
        <is>
          <t>Đang làm</t>
        </is>
      </c>
      <c r="L22" s="64" t="n">
        <v>0.85</v>
      </c>
      <c r="M22" s="63">
        <f>H22*(1-L22)</f>
        <v/>
      </c>
      <c r="N22" s="62" t="n"/>
      <c r="O22" s="59" t="inlineStr">
        <is>
          <t>03/09: deploy/backup.sh (dump hằng ngày, tự kiểm bằng pg_restore --list, giữ 30 ngày) + restore.sh + WAL archiving cho PITR. ĐÃ CHẠY THẬT: sao lưu rồi khôi phục sang DB khác, đủ 7 user, 7 chuyến, 5 bút toán ký quỹ, 114 dòng audit. CÒN LẠI: cắm vào máy chủ staging và đặt lịch diễn tập khôi phục mỗi quý.</t>
        </is>
      </c>
    </row>
    <row r="23" ht="32.8" customHeight="1" s="38">
      <c r="A23" s="62" t="inlineStr">
        <is>
          <t>P0-19</t>
        </is>
      </c>
      <c r="B23" s="59" t="inlineStr">
        <is>
          <t>P0 - Dọn nền</t>
        </is>
      </c>
      <c r="C23" s="59" t="inlineStr">
        <is>
          <t>Backend</t>
        </is>
      </c>
      <c r="D23" s="59" t="inlineStr">
        <is>
          <t>Bảng audit_logs + middleware ghi mọi thao tác ghi</t>
        </is>
      </c>
      <c r="E23" s="59" t="inlineStr">
        <is>
          <t>Mọi POST/PATCH/DELETE để lại: ai, IP, payload trước/sau</t>
        </is>
      </c>
      <c r="F23" s="62" t="inlineStr">
        <is>
          <t>BE</t>
        </is>
      </c>
      <c r="G23" s="59" t="n"/>
      <c r="H23" s="63" t="n">
        <v>3</v>
      </c>
      <c r="I23" s="62" t="inlineStr">
        <is>
          <t>P0-Bắt buộc</t>
        </is>
      </c>
      <c r="J23" s="59" t="n"/>
      <c r="K23" s="62" t="inlineStr">
        <is>
          <t>Đã xong</t>
        </is>
      </c>
      <c r="L23" s="64" t="n">
        <v>1</v>
      </c>
      <c r="M23" s="63">
        <f>H23*(1-L23)</f>
        <v/>
      </c>
      <c r="N23" s="62" t="n"/>
      <c r="O23" s="59" t="inlineStr">
        <is>
          <t>03/09 XONG: migration 0002 + domains/audit + middleware. Che đệ quy 17 trường nhạy cảm, suy ra resource_type/resource_id từ đường dẫn. Lỗi ghi audit không làm hỏng request. 19 test QA-AUD</t>
        </is>
      </c>
    </row>
    <row r="24" ht="32.8" customHeight="1" s="38">
      <c r="A24" s="62" t="inlineStr">
        <is>
          <t>P0-20</t>
        </is>
      </c>
      <c r="B24" s="59" t="inlineStr">
        <is>
          <t>P0 - Dọn nền</t>
        </is>
      </c>
      <c r="C24" s="59" t="inlineStr">
        <is>
          <t>QA</t>
        </is>
      </c>
      <c r="D24" s="59" t="inlineStr">
        <is>
          <t>Dựng vai trò QA: quyền hạn, quy trình, Definition of Done</t>
        </is>
      </c>
      <c r="E24" s="59" t="inlineStr">
        <is>
          <t>Có tài liệu đội đọc là làm theo được, không cần hỏi lại</t>
        </is>
      </c>
      <c r="F24" s="62" t="inlineStr">
        <is>
          <t>FE</t>
        </is>
      </c>
      <c r="G24" s="59" t="n"/>
      <c r="H24" s="63" t="n">
        <v>2</v>
      </c>
      <c r="I24" s="62" t="inlineStr">
        <is>
          <t>P0-Bắt buộc</t>
        </is>
      </c>
      <c r="J24" s="59" t="n"/>
      <c r="K24" s="62" t="inlineStr">
        <is>
          <t>Đã xong</t>
        </is>
      </c>
      <c r="L24" s="64" t="n">
        <v>1</v>
      </c>
      <c r="M24" s="63">
        <f>H24*(1-L24)</f>
        <v/>
      </c>
      <c r="N24" s="62" t="n"/>
      <c r="O24" s="59" t="inlineStr">
        <is>
          <t>03/09 XONG: docs/QA/QA_ROLE.md — quyền chặn merge/release, DoD 9 điểm, phân loại lỗi 5 mức kèm ví dụ GoAn, 6 vùng rủi ro xếp theo thiệt hại</t>
        </is>
      </c>
    </row>
    <row r="25" ht="32.8" customHeight="1" s="38">
      <c r="A25" s="62" t="inlineStr">
        <is>
          <t>P0-21</t>
        </is>
      </c>
      <c r="B25" s="59" t="inlineStr">
        <is>
          <t>P0 - Dọn nền</t>
        </is>
      </c>
      <c r="C25" s="59" t="inlineStr">
        <is>
          <t>QA</t>
        </is>
      </c>
      <c r="D25" s="59" t="inlineStr">
        <is>
          <t>Chiến lược kiểm thử + hệ thống marker</t>
        </is>
      </c>
      <c r="E25" s="59" t="inlineStr">
        <is>
          <t>Chạy được từng nhóm test riêng; marker sai thì đỏ</t>
        </is>
      </c>
      <c r="F25" s="62" t="inlineStr">
        <is>
          <t>FE</t>
        </is>
      </c>
      <c r="G25" s="59" t="n"/>
      <c r="H25" s="63" t="n">
        <v>2</v>
      </c>
      <c r="I25" s="62" t="inlineStr">
        <is>
          <t>P0-Bắt buộc</t>
        </is>
      </c>
      <c r="J25" s="59" t="n"/>
      <c r="K25" s="62" t="inlineStr">
        <is>
          <t>Đã xong</t>
        </is>
      </c>
      <c r="L25" s="64" t="n">
        <v>1</v>
      </c>
      <c r="M25" s="63">
        <f>H25*(1-L25)</f>
        <v/>
      </c>
      <c r="N25" s="62" t="n"/>
      <c r="O25" s="59" t="inlineStr">
        <is>
          <t>03/09 XONG: docs/QA/TEST_STRATEGY.md + 6 marker (unit/integration/api/security/money/prd) với --strict-markers. Ghi rõ cả những gì test tự động KHÔNG bắt được</t>
        </is>
      </c>
    </row>
    <row r="26" ht="32.8" customHeight="1" s="38">
      <c r="A26" s="62" t="inlineStr">
        <is>
          <t>P0-22</t>
        </is>
      </c>
      <c r="B26" s="59" t="inlineStr">
        <is>
          <t>P0 - Dọn nền</t>
        </is>
      </c>
      <c r="C26" s="59" t="inlineStr">
        <is>
          <t>QA</t>
        </is>
      </c>
      <c r="D26" s="59" t="inlineStr">
        <is>
          <t>Ma trận truy vết PRD → test case</t>
        </is>
      </c>
      <c r="E26" s="59" t="inlineStr">
        <is>
          <t>Mỗi yêu cầu PRD chỉ ra được test nào chứng minh nó đúng</t>
        </is>
      </c>
      <c r="F26" s="62" t="inlineStr">
        <is>
          <t>FE</t>
        </is>
      </c>
      <c r="G26" s="59" t="n"/>
      <c r="H26" s="63" t="n">
        <v>3</v>
      </c>
      <c r="I26" s="62" t="inlineStr">
        <is>
          <t>P0-Bắt buộc</t>
        </is>
      </c>
      <c r="J26" s="59" t="inlineStr">
        <is>
          <t>Chiến lược kiểm thử</t>
        </is>
      </c>
      <c r="K26" s="62" t="inlineStr">
        <is>
          <t>Đã xong</t>
        </is>
      </c>
      <c r="L26" s="64" t="n">
        <v>1</v>
      </c>
      <c r="M26" s="63">
        <f>H26*(1-L26)</f>
        <v/>
      </c>
      <c r="N26" s="62" t="n"/>
      <c r="O26" s="59" t="inlineStr">
        <is>
          <t>03/09 XONG: docs/QA/TRACEABILITY.md — 58 yêu cầu trích từ 3 tài liệu, 38 đã có test (66%), 2 còn thiếu có kế hoạch cụ thể, 18 thuộc P1/P2/P5</t>
        </is>
      </c>
    </row>
    <row r="27" ht="32.8" customHeight="1" s="38">
      <c r="A27" s="62" t="inlineStr">
        <is>
          <t>P0-23</t>
        </is>
      </c>
      <c r="B27" s="59" t="inlineStr">
        <is>
          <t>P0 - Dọn nền</t>
        </is>
      </c>
      <c r="C27" s="59" t="inlineStr">
        <is>
          <t>QA</t>
        </is>
      </c>
      <c r="D27" s="59" t="inlineStr">
        <is>
          <t>Mẫu báo lỗi + PR template bắt buộc</t>
        </is>
      </c>
      <c r="E27" s="59" t="inlineStr">
        <is>
          <t>Báo lỗi có đủ bước tái hiện và request_id; MR phải trả lời 'test này đỏ khi nào'</t>
        </is>
      </c>
      <c r="F27" s="62" t="inlineStr">
        <is>
          <t>FE</t>
        </is>
      </c>
      <c r="G27" s="59" t="n"/>
      <c r="H27" s="63" t="n">
        <v>1</v>
      </c>
      <c r="I27" s="62" t="inlineStr">
        <is>
          <t>P1-Cao</t>
        </is>
      </c>
      <c r="J27" s="59" t="n"/>
      <c r="K27" s="62" t="inlineStr">
        <is>
          <t>Đã xong</t>
        </is>
      </c>
      <c r="L27" s="64" t="n">
        <v>1</v>
      </c>
      <c r="M27" s="63">
        <f>H27*(1-L27)</f>
        <v/>
      </c>
      <c r="N27" s="62" t="n"/>
      <c r="O27" s="59" t="inlineStr">
        <is>
          <t>03/09 XONG: docs/QA/BUG_TEMPLATE.md + .github/pull_request_template.md. Sau mỗi sự cố bắt buộc viết test tái hiện TRƯỚC khi sửa</t>
        </is>
      </c>
    </row>
    <row r="28" ht="43.25" customHeight="1" s="38">
      <c r="A28" s="62" t="inlineStr">
        <is>
          <t>P0-24</t>
        </is>
      </c>
      <c r="B28" s="59" t="inlineStr">
        <is>
          <t>P0 - Dọn nền</t>
        </is>
      </c>
      <c r="C28" s="59" t="inlineStr">
        <is>
          <t>QA</t>
        </is>
      </c>
      <c r="D28" s="59" t="inlineStr">
        <is>
          <t>Hạ tầng test: Redis giả, client API qua middleware thật, ngưỡng độ phủ</t>
        </is>
      </c>
      <c r="E28" s="59" t="inlineStr">
        <is>
          <t>Test được cả tầng middleware và các nhánh fail-open</t>
        </is>
      </c>
      <c r="F28" s="62" t="inlineStr">
        <is>
          <t>FE</t>
        </is>
      </c>
      <c r="G28" s="59" t="n"/>
      <c r="H28" s="63" t="n">
        <v>3</v>
      </c>
      <c r="I28" s="62" t="inlineStr">
        <is>
          <t>P0-Bắt buộc</t>
        </is>
      </c>
      <c r="J28" s="59" t="n"/>
      <c r="K28" s="62" t="inlineStr">
        <is>
          <t>Đã xong</t>
        </is>
      </c>
      <c r="L28" s="64" t="n">
        <v>1</v>
      </c>
      <c r="M28" s="63">
        <f>H28*(1-L28)</f>
        <v/>
      </c>
      <c r="N28" s="62" t="n"/>
      <c r="O28" s="59" t="inlineStr">
        <is>
          <t>03/09 XONG: tests/fakes.py (Redis giả có GEO + sorted set + cờ mô phỏng Redis chết), fixture api_client chạy qua đúng chuỗi middleware thật, CI có ngưỡng độ phủ 75% và job riêng cho nhóm money/security</t>
        </is>
      </c>
    </row>
    <row r="29" ht="43.25" customHeight="1" s="38">
      <c r="A29" s="62" t="inlineStr">
        <is>
          <t>P0-25</t>
        </is>
      </c>
      <c r="B29" s="59" t="inlineStr">
        <is>
          <t>P0 - Dọn nền</t>
        </is>
      </c>
      <c r="C29" s="59" t="inlineStr">
        <is>
          <t>QA</t>
        </is>
      </c>
      <c r="D29" s="59" t="inlineStr">
        <is>
          <t>Trả nợ kiểm thử: matching và mã hoá CCCD</t>
        </is>
      </c>
      <c r="E29" s="59" t="inlineStr">
        <is>
          <t>4 yêu cầu PRD có code nhưng chưa ai chứng minh đúng</t>
        </is>
      </c>
      <c r="F29" s="62" t="inlineStr">
        <is>
          <t>FE</t>
        </is>
      </c>
      <c r="G29" s="59" t="n"/>
      <c r="H29" s="63" t="n">
        <v>2</v>
      </c>
      <c r="I29" s="62" t="inlineStr">
        <is>
          <t>P1-Cao</t>
        </is>
      </c>
      <c r="J29" s="59" t="inlineStr">
        <is>
          <t>Hạ tầng test</t>
        </is>
      </c>
      <c r="K29" s="62" t="inlineStr">
        <is>
          <t>Đã xong</t>
        </is>
      </c>
      <c r="L29" s="64" t="n">
        <v>1</v>
      </c>
      <c r="M29" s="63">
        <f>H29*(1-L29)</f>
        <v/>
      </c>
      <c r="N29" s="62" t="n"/>
      <c r="O29" s="59" t="inlineStr">
        <is>
          <t>03/09 XONG: PRD-MATCH-01/02/03 (bán kính có nới thật, 2 tài xế cùng nhận chỉ 1 người thắng, chuyến quá hạn thoát trạng thái chờ) + PRD-SEC-05 (mã hoá CCCD). Tổng 51 → 129 test, độ phủ 78% → 81%</t>
        </is>
      </c>
    </row>
    <row r="30" ht="22.35" customHeight="1" s="38">
      <c r="A30" s="62" t="inlineStr">
        <is>
          <t>P0-26</t>
        </is>
      </c>
      <c r="B30" s="59" t="inlineStr">
        <is>
          <t>P0 - Dọn nền</t>
        </is>
      </c>
      <c r="C30" s="59" t="inlineStr">
        <is>
          <t>Backend</t>
        </is>
      </c>
      <c r="D30" s="59" t="inlineStr">
        <is>
          <t>[ĐÃ CÓ] Migration khởi tạo 18 bảng lõi</t>
        </is>
      </c>
      <c r="E30" s="59" t="inlineStr">
        <is>
          <t>alembic upgrade head chạy sạch</t>
        </is>
      </c>
      <c r="F30" s="62" t="inlineStr">
        <is>
          <t>BE</t>
        </is>
      </c>
      <c r="G30" s="59" t="n"/>
      <c r="H30" s="63" t="n">
        <v>0</v>
      </c>
      <c r="I30" s="62" t="inlineStr">
        <is>
          <t>P0-Bắt buộc</t>
        </is>
      </c>
      <c r="J30" s="59" t="n"/>
      <c r="K30" s="62" t="inlineStr">
        <is>
          <t>Đã xong</t>
        </is>
      </c>
      <c r="L30" s="64" t="n">
        <v>1</v>
      </c>
      <c r="M30" s="63">
        <f>H30*(1-L30)</f>
        <v/>
      </c>
      <c r="N30" s="62" t="n"/>
      <c r="O30" s="59" t="inlineStr">
        <is>
          <t>Đã kiểm chứng: alembic/versions/0001_initial_schema.py, 18 create_table</t>
        </is>
      </c>
    </row>
    <row r="31" ht="22.35" customHeight="1" s="38">
      <c r="A31" s="62" t="inlineStr">
        <is>
          <t>P0-27</t>
        </is>
      </c>
      <c r="B31" s="59" t="inlineStr">
        <is>
          <t>P0 - Dọn nền</t>
        </is>
      </c>
      <c r="C31" s="59" t="inlineStr">
        <is>
          <t>Backend</t>
        </is>
      </c>
      <c r="D31" s="59" t="inlineStr">
        <is>
          <t>[ĐÃ CÓ] Bộ test tự động 51 test (pricing, escrow, fraud, payments, state machine, luồng chuyến)</t>
        </is>
      </c>
      <c r="E31" s="59" t="inlineStr">
        <is>
          <t>pytest -q xanh, không cần Postgres/Redis</t>
        </is>
      </c>
      <c r="F31" s="62" t="inlineStr">
        <is>
          <t>BE</t>
        </is>
      </c>
      <c r="G31" s="59" t="n"/>
      <c r="H31" s="63" t="n">
        <v>0</v>
      </c>
      <c r="I31" s="62" t="inlineStr">
        <is>
          <t>P0-Bắt buộc</t>
        </is>
      </c>
      <c r="J31" s="59" t="n"/>
      <c r="K31" s="62" t="inlineStr">
        <is>
          <t>Đã xong</t>
        </is>
      </c>
      <c r="L31" s="64" t="n">
        <v>1</v>
      </c>
      <c r="M31" s="63">
        <f>H31*(1-L31)</f>
        <v/>
      </c>
      <c r="N31" s="62" t="n"/>
      <c r="O31" s="59" t="inlineStr">
        <is>
          <t>Đã kiểm chứng: chạy thật, 51 passed in 2.52s</t>
        </is>
      </c>
    </row>
    <row r="32" ht="15" customHeight="1" s="38">
      <c r="A32" s="62" t="inlineStr">
        <is>
          <t>P0-28</t>
        </is>
      </c>
      <c r="B32" s="59" t="inlineStr">
        <is>
          <t>P0 - Dọn nền</t>
        </is>
      </c>
      <c r="C32" s="59" t="inlineStr">
        <is>
          <t>Backend</t>
        </is>
      </c>
      <c r="D32" s="59" t="inlineStr">
        <is>
          <t>[ĐÃ CÓ] JSON structured logging + log_event</t>
        </is>
      </c>
      <c r="E32" s="59" t="inlineStr">
        <is>
          <t>Log ra JSON, có event name</t>
        </is>
      </c>
      <c r="F32" s="62" t="inlineStr">
        <is>
          <t>BE</t>
        </is>
      </c>
      <c r="G32" s="59" t="n"/>
      <c r="H32" s="63" t="n">
        <v>0</v>
      </c>
      <c r="I32" s="62" t="inlineStr">
        <is>
          <t>P1-Cao</t>
        </is>
      </c>
      <c r="J32" s="59" t="n"/>
      <c r="K32" s="62" t="inlineStr">
        <is>
          <t>Đã xong</t>
        </is>
      </c>
      <c r="L32" s="64" t="n">
        <v>1</v>
      </c>
      <c r="M32" s="63">
        <f>H32*(1-L32)</f>
        <v/>
      </c>
      <c r="N32" s="62" t="n"/>
      <c r="O32" s="59" t="inlineStr">
        <is>
          <t>core/logging.py</t>
        </is>
      </c>
    </row>
    <row r="33" ht="22.35" customHeight="1" s="38">
      <c r="A33" s="62" t="inlineStr">
        <is>
          <t>P1-01</t>
        </is>
      </c>
      <c r="B33" s="59" t="inlineStr">
        <is>
          <t>P1 - IAM &amp; Console khung</t>
        </is>
      </c>
      <c r="C33" s="59" t="inlineStr">
        <is>
          <t>Backend</t>
        </is>
      </c>
      <c r="D33" s="59" t="inlineStr">
        <is>
          <t>domains/iam: staff_users, roles, permissions, role_permissions</t>
        </is>
      </c>
      <c r="E33" s="59" t="inlineStr">
        <is>
          <t>Migration + seed 12 vai trò theo tài liệu phân định</t>
        </is>
      </c>
      <c r="F33" s="62" t="inlineStr">
        <is>
          <t>BE</t>
        </is>
      </c>
      <c r="G33" s="59" t="n"/>
      <c r="H33" s="63" t="n">
        <v>3</v>
      </c>
      <c r="I33" s="62" t="inlineStr">
        <is>
          <t>P0-Bắt buộc</t>
        </is>
      </c>
      <c r="J33" s="59" t="inlineStr">
        <is>
          <t>P0 xong</t>
        </is>
      </c>
      <c r="K33" s="62" t="inlineStr">
        <is>
          <t>Đã xong</t>
        </is>
      </c>
      <c r="L33" s="64" t="n">
        <v>1</v>
      </c>
      <c r="M33" s="63">
        <f>H33*(1-L33)</f>
        <v/>
      </c>
      <c r="N33" s="62" t="n"/>
      <c r="O33" s="59" t="inlineStr">
        <is>
          <t>03/09 XONG: domains/iam + migration 0004 (staff_users, roles, permissions, role_permissions, staff_roles). Seed 12 vai trò đúng ma trận phân định §2.3, chạy lại không nhân đôi.</t>
        </is>
      </c>
    </row>
    <row r="34" ht="15" customHeight="1" s="38">
      <c r="A34" s="62" t="inlineStr">
        <is>
          <t>P1-02</t>
        </is>
      </c>
      <c r="B34" s="59" t="inlineStr">
        <is>
          <t>P1 - IAM &amp; Console khung</t>
        </is>
      </c>
      <c r="C34" s="59" t="inlineStr">
        <is>
          <t>Backend</t>
        </is>
      </c>
      <c r="D34" s="59" t="inlineStr">
        <is>
          <t>Đăng nhập nội bộ: email + mật khẩu + TOTP 2FA</t>
        </is>
      </c>
      <c r="E34" s="59" t="inlineStr">
        <is>
          <t>Bắt buộc 2FA, phiên 8 giờ, khoá sau 5 lần sai</t>
        </is>
      </c>
      <c r="F34" s="62" t="inlineStr">
        <is>
          <t>BE</t>
        </is>
      </c>
      <c r="G34" s="59" t="n"/>
      <c r="H34" s="63" t="n">
        <v>4</v>
      </c>
      <c r="I34" s="62" t="inlineStr">
        <is>
          <t>P0-Bắt buộc</t>
        </is>
      </c>
      <c r="J34" s="59" t="inlineStr">
        <is>
          <t>domains/iam</t>
        </is>
      </c>
      <c r="K34" s="62" t="inlineStr">
        <is>
          <t>Đã xong</t>
        </is>
      </c>
      <c r="L34" s="64" t="n">
        <v>1</v>
      </c>
      <c r="M34" s="63">
        <f>H34*(1-L34)</f>
        <v/>
      </c>
      <c r="N34" s="62" t="n"/>
      <c r="O34" s="59" t="inlineStr">
        <is>
          <t>03/09 XONG: email + mật khẩu + TOTP bắt buộc, phiên 8 giờ, khoá sau 5 lần sai (15 phút), admin gỡ khoá sớm được. Xoay vòng refresh token. Ghim bcrypt==4.2.1 vì passlib vỡ với bcrypt 5.</t>
        </is>
      </c>
    </row>
    <row r="35" ht="15" customHeight="1" s="38">
      <c r="A35" s="62" t="inlineStr">
        <is>
          <t>P1-03</t>
        </is>
      </c>
      <c r="B35" s="59" t="inlineStr">
        <is>
          <t>P1 - IAM &amp; Console khung</t>
        </is>
      </c>
      <c r="C35" s="59" t="inlineStr">
        <is>
          <t>Backend</t>
        </is>
      </c>
      <c r="D35" s="59" t="inlineStr">
        <is>
          <t>Middleware kiểm permission dạng domain:action:scope</t>
        </is>
      </c>
      <c r="E35" s="59" t="inlineStr">
        <is>
          <t>Thiếu quyền trả 403 kèm mã quyền còn thiếu</t>
        </is>
      </c>
      <c r="F35" s="62" t="inlineStr">
        <is>
          <t>BE</t>
        </is>
      </c>
      <c r="G35" s="59" t="n"/>
      <c r="H35" s="63" t="n">
        <v>2</v>
      </c>
      <c r="I35" s="62" t="inlineStr">
        <is>
          <t>P0-Bắt buộc</t>
        </is>
      </c>
      <c r="J35" s="59" t="inlineStr">
        <is>
          <t>domains/iam</t>
        </is>
      </c>
      <c r="K35" s="62" t="inlineStr">
        <is>
          <t>Đã xong</t>
        </is>
      </c>
      <c r="L35" s="64" t="n">
        <v>1</v>
      </c>
      <c r="M35" s="63">
        <f>H35*(1-L35)</f>
        <v/>
      </c>
      <c r="N35" s="62" t="n"/>
      <c r="O35" s="59" t="inlineStr">
        <is>
          <t>03/09 XONG: require_permission('domain:action:scope') trả 403 kèm đúng mã quyền còn thiếu.</t>
        </is>
      </c>
    </row>
    <row r="36" ht="15" customHeight="1" s="38">
      <c r="A36" s="62" t="inlineStr">
        <is>
          <t>P1-04</t>
        </is>
      </c>
      <c r="B36" s="59" t="inlineStr">
        <is>
          <t>P1 - IAM &amp; Console khung</t>
        </is>
      </c>
      <c r="C36" s="59" t="inlineStr">
        <is>
          <t>Backend</t>
        </is>
      </c>
      <c r="D36" s="59" t="inlineStr">
        <is>
          <t>API /ops/staff: CRUD nhân sự, gán vai trò, vô hiệu hoá</t>
        </is>
      </c>
      <c r="E36" s="59" t="inlineStr">
        <is>
          <t>Vô hiệu hoá không xoá (giữ audit trail)</t>
        </is>
      </c>
      <c r="F36" s="62" t="inlineStr">
        <is>
          <t>BE</t>
        </is>
      </c>
      <c r="G36" s="59" t="n"/>
      <c r="H36" s="63" t="n">
        <v>3</v>
      </c>
      <c r="I36" s="62" t="inlineStr">
        <is>
          <t>P0-Bắt buộc</t>
        </is>
      </c>
      <c r="J36" s="59" t="inlineStr">
        <is>
          <t>Middleware permission</t>
        </is>
      </c>
      <c r="K36" s="62" t="inlineStr">
        <is>
          <t>Đã xong</t>
        </is>
      </c>
      <c r="L36" s="64" t="n">
        <v>1</v>
      </c>
      <c r="M36" s="63">
        <f>H36*(1-L36)</f>
        <v/>
      </c>
      <c r="N36" s="62" t="n"/>
      <c r="O36" s="59" t="inlineStr">
        <is>
          <t>03/09 XONG: /ops/staff CRUD + gán vai trò + vô hiệu hoá (không xoá) + gỡ khoá. Bí mật TOTP chỉ trả về một lần lúc tạo.</t>
        </is>
      </c>
    </row>
    <row r="37" ht="15" customHeight="1" s="38">
      <c r="A37" s="62" t="inlineStr">
        <is>
          <t>P1-05</t>
        </is>
      </c>
      <c r="B37" s="59" t="inlineStr">
        <is>
          <t>P1 - IAM &amp; Console khung</t>
        </is>
      </c>
      <c r="C37" s="59" t="inlineStr">
        <is>
          <t>Backend</t>
        </is>
      </c>
      <c r="D37" s="59" t="inlineStr">
        <is>
          <t>API đọc audit log có lọc/tra cứu</t>
        </is>
      </c>
      <c r="E37" s="59" t="inlineStr">
        <is>
          <t>Lọc theo người, thời gian, đối tượng</t>
        </is>
      </c>
      <c r="F37" s="62" t="inlineStr">
        <is>
          <t>BE</t>
        </is>
      </c>
      <c r="G37" s="59" t="n"/>
      <c r="H37" s="63" t="n">
        <v>2</v>
      </c>
      <c r="I37" s="62" t="inlineStr">
        <is>
          <t>P1-Cao</t>
        </is>
      </c>
      <c r="J37" s="59" t="inlineStr">
        <is>
          <t>Bảng audit_logs</t>
        </is>
      </c>
      <c r="K37" s="62" t="inlineStr">
        <is>
          <t>Đã xong</t>
        </is>
      </c>
      <c r="L37" s="64" t="n">
        <v>1</v>
      </c>
      <c r="M37" s="63">
        <f>H37*(1-L37)</f>
        <v/>
      </c>
      <c r="N37" s="62" t="n"/>
      <c r="O37" s="59" t="inlineStr">
        <is>
          <t>03/09 XONG: GET /ops/audit-logs lọc theo người/nhân sự/đối tượng/thời gian, phân trang con trỏ.</t>
        </is>
      </c>
    </row>
    <row r="38" ht="22.35" customHeight="1" s="38">
      <c r="A38" s="62" t="inlineStr">
        <is>
          <t>P1-06</t>
        </is>
      </c>
      <c r="B38" s="59" t="inlineStr">
        <is>
          <t>P1 - IAM &amp; Console khung</t>
        </is>
      </c>
      <c r="C38" s="59" t="inlineStr">
        <is>
          <t>Backend</t>
        </is>
      </c>
      <c r="D38" s="59" t="inlineStr">
        <is>
          <t>Che PII mặc định + endpoint xem đầy đủ bắt buộc nhập lý do</t>
        </is>
      </c>
      <c r="E38" s="59" t="inlineStr">
        <is>
          <t>Mỗi lần xem CCCD/SĐT đầy đủ đều ghi log kèm lý do</t>
        </is>
      </c>
      <c r="F38" s="62" t="inlineStr">
        <is>
          <t>BE</t>
        </is>
      </c>
      <c r="G38" s="59" t="n"/>
      <c r="H38" s="63" t="n">
        <v>3</v>
      </c>
      <c r="I38" s="62" t="inlineStr">
        <is>
          <t>P0-Bắt buộc</t>
        </is>
      </c>
      <c r="J38" s="59" t="inlineStr">
        <is>
          <t>Middleware permission</t>
        </is>
      </c>
      <c r="K38" s="62" t="inlineStr">
        <is>
          <t>Đã xong</t>
        </is>
      </c>
      <c r="L38" s="64" t="n">
        <v>1</v>
      </c>
      <c r="M38" s="63">
        <f>H38*(1-L38)</f>
        <v/>
      </c>
      <c r="N38" s="62" t="n"/>
      <c r="O38" s="59" t="inlineStr">
        <is>
          <t>03/09 XONG: core/pii che SĐT/CCCD/email/tên; GET /ops/users/{id} trả bản đã che; POST /ops/users/{id}/reveal-pii cần quyền pii:full:read + lý do ≥10 ký tự, ghi vào audit_logs.reason.</t>
        </is>
      </c>
    </row>
    <row r="39" ht="22.35" customHeight="1" s="38">
      <c r="A39" s="62" t="inlineStr">
        <is>
          <t>P1-07</t>
        </is>
      </c>
      <c r="B39" s="59" t="inlineStr">
        <is>
          <t>P1 - IAM &amp; Console khung</t>
        </is>
      </c>
      <c r="C39" s="59" t="inlineStr">
        <is>
          <t>Backend</t>
        </is>
      </c>
      <c r="D39" s="59" t="inlineStr">
        <is>
          <t>Khung maker-checker (approval_requests) cho thao tác chạm tiền</t>
        </is>
      </c>
      <c r="E39" s="59" t="inlineStr">
        <is>
          <t>Người tạo ≠ người duyệt; quá hạn tự huỷ</t>
        </is>
      </c>
      <c r="F39" s="62" t="inlineStr">
        <is>
          <t>BE</t>
        </is>
      </c>
      <c r="G39" s="59" t="n"/>
      <c r="H39" s="63" t="n">
        <v>5</v>
      </c>
      <c r="I39" s="62" t="inlineStr">
        <is>
          <t>P0-Bắt buộc</t>
        </is>
      </c>
      <c r="J39" s="59" t="inlineStr">
        <is>
          <t>Middleware permission</t>
        </is>
      </c>
      <c r="K39" s="62" t="inlineStr">
        <is>
          <t>Đã xong</t>
        </is>
      </c>
      <c r="L39" s="64" t="n">
        <v>1</v>
      </c>
      <c r="M39" s="63">
        <f>H39*(1-L39)</f>
        <v/>
      </c>
      <c r="N39" s="62" t="n"/>
      <c r="O39" s="59" t="inlineStr">
        <is>
          <t>03/09 XONG: approval_requests + migration 0005, 5 loại đề nghị. Người tạo không tự duyệt (kể cả super_admin), quá hạn 72h tự đóng bằng job Celery mỗi 30 phút.</t>
        </is>
      </c>
    </row>
    <row r="40" ht="15" customHeight="1" s="38">
      <c r="A40" s="62" t="inlineStr">
        <is>
          <t>P1-08</t>
        </is>
      </c>
      <c r="B40" s="59" t="inlineStr">
        <is>
          <t>P1 - IAM &amp; Console khung</t>
        </is>
      </c>
      <c r="C40" s="59" t="inlineStr">
        <is>
          <t>Backend</t>
        </is>
      </c>
      <c r="D40" s="59" t="inlineStr">
        <is>
          <t>Tách router theo audience: rider/driver/ops/partner/public</t>
        </is>
      </c>
      <c r="E40" s="59" t="inlineStr">
        <is>
          <t>Router cũ vẫn chạy (deprecated), router mới đủ 5 nhóm</t>
        </is>
      </c>
      <c r="F40" s="62" t="inlineStr">
        <is>
          <t>BE</t>
        </is>
      </c>
      <c r="G40" s="59" t="n"/>
      <c r="H40" s="63" t="n">
        <v>4</v>
      </c>
      <c r="I40" s="62" t="inlineStr">
        <is>
          <t>P0-Bắt buộc</t>
        </is>
      </c>
      <c r="J40" s="59" t="inlineStr">
        <is>
          <t>P0 xong</t>
        </is>
      </c>
      <c r="K40" s="62" t="inlineStr">
        <is>
          <t>Đã xong</t>
        </is>
      </c>
      <c r="L40" s="64" t="n">
        <v>1</v>
      </c>
      <c r="M40" s="63">
        <f>H40*(1-L40)</f>
        <v/>
      </c>
      <c r="N40" s="62" t="n"/>
      <c r="O40" s="59" t="inlineStr">
        <is>
          <t>03/09 XONG: app/api dựng 5 nhóm rider/driver/ops/partner/public từ chính route đã có, không viết lại handler. Đường dẫn cũ vẫn chạy, đánh dấu deprecated. Có test bắt buộc mọi route phải khai nhóm. Nhóm partner dựng sẵn, endpoint đến P6 mới có.</t>
        </is>
      </c>
    </row>
    <row r="41" ht="15" customHeight="1" s="38">
      <c r="A41" s="62" t="inlineStr">
        <is>
          <t>P1-09</t>
        </is>
      </c>
      <c r="B41" s="59" t="inlineStr">
        <is>
          <t>P1 - IAM &amp; Console khung</t>
        </is>
      </c>
      <c r="C41" s="59" t="inlineStr">
        <is>
          <t>Backend</t>
        </is>
      </c>
      <c r="D41" s="59" t="inlineStr">
        <is>
          <t>API /ops/fleet + WS ops.fleet_update (gom 3s/lần)</t>
        </is>
      </c>
      <c r="E41" s="59" t="inlineStr">
        <is>
          <t>Console thấy toàn bộ tài xế online và chuyến đang chạy</t>
        </is>
      </c>
      <c r="F41" s="62" t="inlineStr">
        <is>
          <t>BE</t>
        </is>
      </c>
      <c r="G41" s="59" t="n"/>
      <c r="H41" s="63" t="n">
        <v>4</v>
      </c>
      <c r="I41" s="62" t="inlineStr">
        <is>
          <t>P0-Bắt buộc</t>
        </is>
      </c>
      <c r="J41" s="59" t="inlineStr">
        <is>
          <t>Tách router</t>
        </is>
      </c>
      <c r="K41" s="62" t="inlineStr">
        <is>
          <t>Đã xong</t>
        </is>
      </c>
      <c r="L41" s="64" t="n">
        <v>1</v>
      </c>
      <c r="M41" s="63">
        <f>H41*(1-L41)</f>
        <v/>
      </c>
      <c r="N41" s="62" t="n"/>
      <c r="O41" s="59" t="inlineStr">
        <is>
          <t>03/09 XONG: /ws/ops/fleet đẩy ảnh chụp mỗi 3 giây, kiểm quyền ops:fleet:read, hết người xem thì dừng vòng lặp. Console tự lùi về hỏi lại 5 giây/lần nếu WS không mở được.</t>
        </is>
      </c>
    </row>
    <row r="42" ht="15" customHeight="1" s="38">
      <c r="A42" s="62" t="inlineStr">
        <is>
          <t>P1-10</t>
        </is>
      </c>
      <c r="B42" s="59" t="inlineStr">
        <is>
          <t>P1 - IAM &amp; Console khung</t>
        </is>
      </c>
      <c r="C42" s="59" t="inlineStr">
        <is>
          <t>Backend</t>
        </is>
      </c>
      <c r="D42" s="59" t="inlineStr">
        <is>
          <t>API /ops/drivers: duyệt hồ sơ, eKYC, khoá/mở, cảnh cáo</t>
        </is>
      </c>
      <c r="E42" s="59" t="inlineStr">
        <is>
          <t>Duyệt/từ chối có lý do, tài xế nhận thông báo</t>
        </is>
      </c>
      <c r="F42" s="62" t="inlineStr">
        <is>
          <t>BE</t>
        </is>
      </c>
      <c r="G42" s="59" t="n"/>
      <c r="H42" s="63" t="n">
        <v>3</v>
      </c>
      <c r="I42" s="62" t="inlineStr">
        <is>
          <t>P0-Bắt buộc</t>
        </is>
      </c>
      <c r="J42" s="59" t="inlineStr">
        <is>
          <t>Tách router</t>
        </is>
      </c>
      <c r="K42" s="62" t="inlineStr">
        <is>
          <t>Đã xong</t>
        </is>
      </c>
      <c r="L42" s="64" t="n">
        <v>1</v>
      </c>
      <c r="M42" s="63">
        <f>H42*(1-L42)</f>
        <v/>
      </c>
      <c r="N42" s="62" t="n"/>
      <c r="O42" s="59" t="inlineStr">
        <is>
          <t>03/09 XONG: /ops/drivers lọc theo trạng thái duyệt, duyệt/từ chối có lý do + thông báo cho tài xế, khoá/mở tài khoản (khoá là xoá luôn QR đang sống). Migration 0006.</t>
        </is>
      </c>
    </row>
    <row r="43" ht="15" customHeight="1" s="38">
      <c r="A43" s="62" t="inlineStr">
        <is>
          <t>P1-11</t>
        </is>
      </c>
      <c r="B43" s="59" t="inlineStr">
        <is>
          <t>P1 - IAM &amp; Console khung</t>
        </is>
      </c>
      <c r="C43" s="59" t="inlineStr">
        <is>
          <t>Backend</t>
        </is>
      </c>
      <c r="D43" s="59" t="inlineStr">
        <is>
          <t>API /ops/trips: danh sách, lọc, chi tiết, lịch sử GPS</t>
        </is>
      </c>
      <c r="E43" s="59" t="inlineStr">
        <is>
          <t>Lọc theo trạng thái/khu vực/thời gian, phân trang con trỏ</t>
        </is>
      </c>
      <c r="F43" s="62" t="inlineStr">
        <is>
          <t>BE</t>
        </is>
      </c>
      <c r="G43" s="59" t="n"/>
      <c r="H43" s="63" t="n">
        <v>3</v>
      </c>
      <c r="I43" s="62" t="inlineStr">
        <is>
          <t>P0-Bắt buộc</t>
        </is>
      </c>
      <c r="J43" s="59" t="inlineStr">
        <is>
          <t>Tách router</t>
        </is>
      </c>
      <c r="K43" s="62" t="inlineStr">
        <is>
          <t>Đã xong</t>
        </is>
      </c>
      <c r="L43" s="64" t="n">
        <v>1</v>
      </c>
      <c r="M43" s="63">
        <f>H43*(1-L43)</f>
        <v/>
      </c>
      <c r="N43" s="62" t="n"/>
      <c r="O43" s="59" t="inlineStr">
        <is>
          <t>03/09 XONG: GET /ops/trips lọc theo trạng thái/tài xế/khách/thời gian + phân trang con trỏ, chi tiết chuyến, tua lại lộ trình GPS, số liệu đầu trang.</t>
        </is>
      </c>
    </row>
    <row r="44" ht="15" customHeight="1" s="38">
      <c r="A44" s="62" t="inlineStr">
        <is>
          <t>P1-12</t>
        </is>
      </c>
      <c r="B44" s="59" t="inlineStr">
        <is>
          <t>P1 - IAM &amp; Console khung</t>
        </is>
      </c>
      <c r="C44" s="59" t="inlineStr">
        <is>
          <t>Frontend</t>
        </is>
      </c>
      <c r="D44" s="59" t="inlineStr">
        <is>
          <t>Console: scaffold Vite + TS + router + tầng auth + layout</t>
        </is>
      </c>
      <c r="E44" s="59" t="inlineStr">
        <is>
          <t>Đăng nhập, điều hướng, xử lý 401/403 hoàn chỉnh</t>
        </is>
      </c>
      <c r="F44" s="62" t="inlineStr">
        <is>
          <t>FE</t>
        </is>
      </c>
      <c r="G44" s="59" t="n"/>
      <c r="H44" s="63" t="n">
        <v>4</v>
      </c>
      <c r="I44" s="62" t="inlineStr">
        <is>
          <t>P0-Bắt buộc</t>
        </is>
      </c>
      <c r="J44" s="59" t="inlineStr">
        <is>
          <t>P0 xong</t>
        </is>
      </c>
      <c r="K44" s="62" t="inlineStr">
        <is>
          <t>Đã xong</t>
        </is>
      </c>
      <c r="L44" s="64" t="n">
        <v>1</v>
      </c>
      <c r="M44" s="63">
        <f>H44*(1-L44)</f>
        <v/>
      </c>
      <c r="N44" s="62" t="n"/>
      <c r="O44" s="59" t="inlineStr">
        <is>
          <t>03/09 XONG: apps/ops-console — Vite + TS + react-router, tầng auth tự làm mới token (một lần refresh tại một thời điểm), layout + menu dựng theo quyền, xử lý 401/403.</t>
        </is>
      </c>
    </row>
    <row r="45" ht="15" customHeight="1" s="38">
      <c r="A45" s="62" t="inlineStr">
        <is>
          <t>P1-13</t>
        </is>
      </c>
      <c r="B45" s="59" t="inlineStr">
        <is>
          <t>P1 - IAM &amp; Console khung</t>
        </is>
      </c>
      <c r="C45" s="59" t="inlineStr">
        <is>
          <t>Frontend</t>
        </is>
      </c>
      <c r="D45" s="59" t="inlineStr">
        <is>
          <t>Console: màn hình đăng nhập + 2FA</t>
        </is>
      </c>
      <c r="E45" s="59" t="inlineStr">
        <is>
          <t>Nhập TOTP, ghi nhớ thiết bị 30 ngày</t>
        </is>
      </c>
      <c r="F45" s="62" t="inlineStr">
        <is>
          <t>FE</t>
        </is>
      </c>
      <c r="G45" s="59" t="n"/>
      <c r="H45" s="63" t="n">
        <v>2</v>
      </c>
      <c r="I45" s="62" t="inlineStr">
        <is>
          <t>P0-Bắt buộc</t>
        </is>
      </c>
      <c r="J45" s="59" t="inlineStr">
        <is>
          <t>Console scaffold</t>
        </is>
      </c>
      <c r="K45" s="62" t="inlineStr">
        <is>
          <t>Đã xong</t>
        </is>
      </c>
      <c r="L45" s="64" t="n">
        <v>1</v>
      </c>
      <c r="M45" s="63">
        <f>H45*(1-L45)</f>
        <v/>
      </c>
      <c r="N45" s="62" t="n"/>
      <c r="O45" s="59" t="inlineStr">
        <is>
          <t>03/09 XONG: nhớ máy 30 ngày (bảng staff_trusted_devices, chỉ lưu hash). Mật khẩu không bao giờ bị bỏ qua; gỡ được ngay khi mất máy, tự gỡ hoặc quản trị gỡ hộ.</t>
        </is>
      </c>
    </row>
    <row r="46" ht="22.35" customHeight="1" s="38">
      <c r="A46" s="62" t="inlineStr">
        <is>
          <t>P1-14</t>
        </is>
      </c>
      <c r="B46" s="59" t="inlineStr">
        <is>
          <t>P1 - IAM &amp; Console khung</t>
        </is>
      </c>
      <c r="C46" s="59" t="inlineStr">
        <is>
          <t>Frontend</t>
        </is>
      </c>
      <c r="D46" s="59" t="inlineStr">
        <is>
          <t>packages/ui: design system web (bảng, form, modal, badge, toast)</t>
        </is>
      </c>
      <c r="E46" s="59" t="inlineStr">
        <is>
          <t>Storybook chạy, dùng lại được ở Partner Portal</t>
        </is>
      </c>
      <c r="F46" s="62" t="inlineStr">
        <is>
          <t>FE</t>
        </is>
      </c>
      <c r="G46" s="59" t="n"/>
      <c r="H46" s="63" t="n">
        <v>4</v>
      </c>
      <c r="I46" s="62" t="inlineStr">
        <is>
          <t>P1-Cao</t>
        </is>
      </c>
      <c r="J46" s="59" t="inlineStr">
        <is>
          <t>Console scaffold</t>
        </is>
      </c>
      <c r="K46" s="62" t="inlineStr">
        <is>
          <t>Đã xong</t>
        </is>
      </c>
      <c r="L46" s="64" t="n">
        <v>1</v>
      </c>
      <c r="M46" s="63">
        <f>H46*(1-L46)</f>
        <v/>
      </c>
      <c r="N46" s="62" t="n"/>
      <c r="O46" s="59" t="inlineStr">
        <is>
          <t>03/09 XONG: packages/ui tách khỏi Console (Card/Table/Badge/Button/Empty/ErrorText), chỉ JSX + class nên Partner Portal nạp bảng màu riêng vẫn dùng lại được. Storybook chạy và build ra.</t>
        </is>
      </c>
    </row>
    <row r="47" ht="22.35" customHeight="1" s="38">
      <c r="A47" s="62" t="inlineStr">
        <is>
          <t>P1-15</t>
        </is>
      </c>
      <c r="B47" s="59" t="inlineStr">
        <is>
          <t>P1 - IAM &amp; Console khung</t>
        </is>
      </c>
      <c r="C47" s="59" t="inlineStr">
        <is>
          <t>Frontend</t>
        </is>
      </c>
      <c r="D47" s="59" t="inlineStr">
        <is>
          <t>Console: module IAM (nhân sự, vai trò, ma trận quyền, audit log)</t>
        </is>
      </c>
      <c r="E47" s="59" t="inlineStr">
        <is>
          <t>Sửa quyền của vai trò không cần deploy</t>
        </is>
      </c>
      <c r="F47" s="62" t="inlineStr">
        <is>
          <t>FE</t>
        </is>
      </c>
      <c r="G47" s="59" t="n"/>
      <c r="H47" s="63" t="n">
        <v>4</v>
      </c>
      <c r="I47" s="62" t="inlineStr">
        <is>
          <t>P0-Bắt buộc</t>
        </is>
      </c>
      <c r="J47" s="59" t="inlineStr">
        <is>
          <t>API /ops/staff</t>
        </is>
      </c>
      <c r="K47" s="62" t="inlineStr">
        <is>
          <t>Đã xong</t>
        </is>
      </c>
      <c r="L47" s="64" t="n">
        <v>1</v>
      </c>
      <c r="M47" s="63">
        <f>H47*(1-L47)</f>
        <v/>
      </c>
      <c r="N47" s="62" t="n"/>
      <c r="O47" s="59" t="inlineStr">
        <is>
          <t>03/09 XONG: PUT /ops/roles/{code}/permissions + màn hình tích chọn quyền. Chặn sửa super_admin và chặn gán quyền vạn năng cho vai trò thường.</t>
        </is>
      </c>
    </row>
    <row r="48" ht="15" customHeight="1" s="38">
      <c r="A48" s="62" t="inlineStr">
        <is>
          <t>P1-16</t>
        </is>
      </c>
      <c r="B48" s="59" t="inlineStr">
        <is>
          <t>P1 - IAM &amp; Console khung</t>
        </is>
      </c>
      <c r="C48" s="59" t="inlineStr">
        <is>
          <t>Frontend</t>
        </is>
      </c>
      <c r="D48" s="59" t="inlineStr">
        <is>
          <t>Console: Live Ops - bản đồ real-time toàn đội</t>
        </is>
      </c>
      <c r="E48" s="59" t="inlineStr">
        <is>
          <t>Hiện tài xế online + chuyến, lọc, click xem chi tiết</t>
        </is>
      </c>
      <c r="F48" s="62" t="inlineStr">
        <is>
          <t>FE</t>
        </is>
      </c>
      <c r="G48" s="59" t="n"/>
      <c r="H48" s="63" t="n">
        <v>5</v>
      </c>
      <c r="I48" s="62" t="inlineStr">
        <is>
          <t>P0-Bắt buộc</t>
        </is>
      </c>
      <c r="J48" s="59" t="inlineStr">
        <is>
          <t>API /ops/fleet</t>
        </is>
      </c>
      <c r="K48" s="62" t="inlineStr">
        <is>
          <t>Đã xong</t>
        </is>
      </c>
      <c r="L48" s="64" t="n">
        <v>1</v>
      </c>
      <c r="M48" s="63">
        <f>H48*(1-L48)</f>
        <v/>
      </c>
      <c r="N48" s="62" t="n"/>
      <c r="O48" s="59" t="inlineStr">
        <is>
          <t>03/09 XONG: bản đồ Leaflet + OpenStreetMap, marker di chuyển tại chỗ (không vẽ lại nên không nhấp nháy mỗi 3 giây), popup xem chi tiết. Đổi sang Goong chỉ là đổi URL tile.</t>
        </is>
      </c>
    </row>
    <row r="49" ht="15" customHeight="1" s="38">
      <c r="A49" s="62" t="inlineStr">
        <is>
          <t>P1-17</t>
        </is>
      </c>
      <c r="B49" s="59" t="inlineStr">
        <is>
          <t>P1 - IAM &amp; Console khung</t>
        </is>
      </c>
      <c r="C49" s="59" t="inlineStr">
        <is>
          <t>Frontend</t>
        </is>
      </c>
      <c r="D49" s="59" t="inlineStr">
        <is>
          <t>Console: Driver Ops - duyệt hồ sơ, xem giấy tờ, khoá/mở</t>
        </is>
      </c>
      <c r="E49" s="59" t="inlineStr">
        <is>
          <t>Duyệt được 1 hồ sơ từ đầu đến cuối</t>
        </is>
      </c>
      <c r="F49" s="62" t="inlineStr">
        <is>
          <t>FE</t>
        </is>
      </c>
      <c r="G49" s="59" t="n"/>
      <c r="H49" s="63" t="n">
        <v>4</v>
      </c>
      <c r="I49" s="62" t="inlineStr">
        <is>
          <t>P0-Bắt buộc</t>
        </is>
      </c>
      <c r="J49" s="59" t="inlineStr">
        <is>
          <t>API /ops/drivers</t>
        </is>
      </c>
      <c r="K49" s="62" t="inlineStr">
        <is>
          <t>Đã xong</t>
        </is>
      </c>
      <c r="L49" s="64" t="n">
        <v>1</v>
      </c>
      <c r="M49" s="63">
        <f>H49*(1-L49)</f>
        <v/>
      </c>
      <c r="N49" s="62" t="n"/>
      <c r="O49" s="59" t="inlineStr">
        <is>
          <t>03/09 XONG: duyệt/từ chối hồ sơ có lý do, khoá/mở tài khoản, xem PII đầy đủ kèm lý do — duyệt được một hồ sơ từ đầu đến cuối không cần đụng DB.</t>
        </is>
      </c>
    </row>
    <row r="50" ht="15" customHeight="1" s="38">
      <c r="A50" s="62" t="inlineStr">
        <is>
          <t>P1-18</t>
        </is>
      </c>
      <c r="B50" s="59" t="inlineStr">
        <is>
          <t>P1 - IAM &amp; Console khung</t>
        </is>
      </c>
      <c r="C50" s="59" t="inlineStr">
        <is>
          <t>Frontend</t>
        </is>
      </c>
      <c r="D50" s="59" t="inlineStr">
        <is>
          <t>Console: danh sách chuyến + chi tiết + tua lại lộ trình</t>
        </is>
      </c>
      <c r="E50" s="59" t="inlineStr">
        <is>
          <t>Xem lại được lộ trình 1 chuyến đã hoàn thành</t>
        </is>
      </c>
      <c r="F50" s="62" t="inlineStr">
        <is>
          <t>FE</t>
        </is>
      </c>
      <c r="G50" s="59" t="n"/>
      <c r="H50" s="63" t="n">
        <v>5</v>
      </c>
      <c r="I50" s="62" t="inlineStr">
        <is>
          <t>P1-Cao</t>
        </is>
      </c>
      <c r="J50" s="59" t="inlineStr">
        <is>
          <t>API /ops/trips</t>
        </is>
      </c>
      <c r="K50" s="62" t="inlineStr">
        <is>
          <t>Đã xong</t>
        </is>
      </c>
      <c r="L50" s="64" t="n">
        <v>1</v>
      </c>
      <c r="M50" s="63">
        <f>H50*(1-L50)</f>
        <v/>
      </c>
      <c r="N50" s="62" t="n"/>
      <c r="O50" s="59" t="inlineStr">
        <is>
          <t>03/09 XONG: danh sách chuyến có lọc + tải thêm theo con trỏ, xem lại lộ trình GPS của chuyến.</t>
        </is>
      </c>
    </row>
    <row r="51" ht="22.35" customHeight="1" s="38">
      <c r="A51" s="62" t="inlineStr">
        <is>
          <t>P1-19</t>
        </is>
      </c>
      <c r="B51" s="59" t="inlineStr">
        <is>
          <t>P1 - IAM &amp; Console khung</t>
        </is>
      </c>
      <c r="C51" s="59" t="inlineStr">
        <is>
          <t>QA</t>
        </is>
      </c>
      <c r="D51" s="59" t="inlineStr">
        <is>
          <t>Bộ test case Console + kiểm thử phân quyền theo 12 vai trò</t>
        </is>
      </c>
      <c r="E51" s="59" t="inlineStr">
        <is>
          <t>Mỗi vai trò chỉ thấy đúng phần được phép</t>
        </is>
      </c>
      <c r="F51" s="62" t="inlineStr">
        <is>
          <t>FE</t>
        </is>
      </c>
      <c r="G51" s="59" t="n"/>
      <c r="H51" s="63" t="n">
        <v>3</v>
      </c>
      <c r="I51" s="62" t="inlineStr">
        <is>
          <t>P0-Bắt buộc</t>
        </is>
      </c>
      <c r="J51" s="59" t="inlineStr">
        <is>
          <t>Console IAM</t>
        </is>
      </c>
      <c r="K51" s="62" t="inlineStr">
        <is>
          <t>Đã xong</t>
        </is>
      </c>
      <c r="L51" s="64" t="n">
        <v>1</v>
      </c>
      <c r="M51" s="63">
        <f>H51*(1-L51)</f>
        <v/>
      </c>
      <c r="N51" s="62" t="n"/>
      <c r="O51" s="59" t="inlineStr">
        <is>
          <t>03/09 XONG: 7 test giao diện (vitest + testing-library) phủ 5 vai trò và luồng đăng nhập nhớ máy; CI chạy pnpm test. Test bắt được lỗi thật: trang trắng khi API trả hình dạng lạ.</t>
        </is>
      </c>
    </row>
    <row r="52" ht="22.35" customHeight="1" s="38">
      <c r="A52" s="62" t="inlineStr">
        <is>
          <t>P2-01</t>
        </is>
      </c>
      <c r="B52" s="59" t="inlineStr">
        <is>
          <t>P2 - Chat &amp; Support</t>
        </is>
      </c>
      <c r="C52" s="59" t="inlineStr">
        <is>
          <t>Backend</t>
        </is>
      </c>
      <c r="D52" s="59" t="inlineStr">
        <is>
          <t>Data model chat: conversations, members, messages, attachments (+ migration)</t>
        </is>
      </c>
      <c r="E52" s="59" t="inlineStr">
        <is>
          <t>Migration chạy sạch, có đủ chỉ mục theo tài liệu</t>
        </is>
      </c>
      <c r="F52" s="62" t="inlineStr">
        <is>
          <t>BE</t>
        </is>
      </c>
      <c r="G52" s="59" t="n"/>
      <c r="H52" s="63" t="n">
        <v>4</v>
      </c>
      <c r="I52" s="62" t="inlineStr">
        <is>
          <t>P0-Bắt buộc</t>
        </is>
      </c>
      <c r="J52" s="59" t="inlineStr">
        <is>
          <t>P1 xong</t>
        </is>
      </c>
      <c r="K52" s="62" t="inlineStr">
        <is>
          <t>Đã xong</t>
        </is>
      </c>
      <c r="L52" s="64" t="n">
        <v>1</v>
      </c>
      <c r="M52" s="63">
        <f>H52*(1-L52)</f>
        <v/>
      </c>
      <c r="N52" s="62" t="n"/>
      <c r="O52" s="59" t="inlineStr">
        <is>
          <t>04/09 XONG: migration 0009 tạo conversations / conversation_members / messages / message_attachments + đủ chỉ mục. Chạy sạch cả upgrade lẫn downgrade trên PostgreSQL 16 thật, alembic check không phát sinh thao tác mới.</t>
        </is>
      </c>
    </row>
    <row r="53" ht="15" customHeight="1" s="38">
      <c r="A53" s="62" t="inlineStr">
        <is>
          <t>P2-02</t>
        </is>
      </c>
      <c r="B53" s="59" t="inlineStr">
        <is>
          <t>P2 - Chat &amp; Support</t>
        </is>
      </c>
      <c r="C53" s="59" t="inlineStr">
        <is>
          <t>Backend</t>
        </is>
      </c>
      <c r="D53" s="59" t="inlineStr">
        <is>
          <t>Chat service: gửi/nhận, khử trùng theo client_msg_id</t>
        </is>
      </c>
      <c r="E53" s="59" t="inlineStr">
        <is>
          <t>Gửi lại cùng client_msg_id không tạo tin trùng</t>
        </is>
      </c>
      <c r="F53" s="62" t="inlineStr">
        <is>
          <t>BE</t>
        </is>
      </c>
      <c r="G53" s="59" t="n"/>
      <c r="H53" s="63" t="n">
        <v>4</v>
      </c>
      <c r="I53" s="62" t="inlineStr">
        <is>
          <t>P0-Bắt buộc</t>
        </is>
      </c>
      <c r="J53" s="59" t="inlineStr">
        <is>
          <t>Data model chat</t>
        </is>
      </c>
      <c r="K53" s="62" t="inlineStr">
        <is>
          <t>Đã xong</t>
        </is>
      </c>
      <c r="L53" s="64" t="n">
        <v>1</v>
      </c>
      <c r="M53" s="63">
        <f>H53*(1-L53)</f>
        <v/>
      </c>
      <c r="N53" s="62" t="n"/>
      <c r="O53" s="59" t="inlineStr">
        <is>
          <t>04/09 XONG: send_message() khử trùng theo (conversation_id, client_msg_id) — ràng buộc UNIQUE ở DB, thêm nhánh bắt IntegrityError cho trường hợp hai request vào cùng lúc. Test: gửi lại cùng client_msg_id trả về đúng tin cũ, DB vẫn 1 dòng.</t>
        </is>
      </c>
    </row>
    <row r="54" ht="15" customHeight="1" s="38">
      <c r="A54" s="62" t="inlineStr">
        <is>
          <t>P2-03</t>
        </is>
      </c>
      <c r="B54" s="59" t="inlineStr">
        <is>
          <t>P2 - Chat &amp; Support</t>
        </is>
      </c>
      <c r="C54" s="59" t="inlineStr">
        <is>
          <t>Backend</t>
        </is>
      </c>
      <c r="D54" s="59" t="inlineStr">
        <is>
          <t>Phân trang con trỏ + đồng bộ bù sau khi mất kết nối</t>
        </is>
      </c>
      <c r="E54" s="59" t="inlineStr">
        <is>
          <t>Mất mạng 5 phút, nối lại thấy đủ tin đã lỡ</t>
        </is>
      </c>
      <c r="F54" s="62" t="inlineStr">
        <is>
          <t>BE</t>
        </is>
      </c>
      <c r="G54" s="59" t="n"/>
      <c r="H54" s="63" t="n">
        <v>3</v>
      </c>
      <c r="I54" s="62" t="inlineStr">
        <is>
          <t>P0-Bắt buộc</t>
        </is>
      </c>
      <c r="J54" s="59" t="inlineStr">
        <is>
          <t>Chat service</t>
        </is>
      </c>
      <c r="K54" s="62" t="inlineStr">
        <is>
          <t>Đã xong</t>
        </is>
      </c>
      <c r="L54" s="64" t="n">
        <v>1</v>
      </c>
      <c r="M54" s="63">
        <f>H54*(1-L54)</f>
        <v/>
      </c>
      <c r="N54" s="62" t="n"/>
      <c r="O54" s="59" t="inlineStr">
        <is>
          <t>04/09 XONG: list_messages() phân trang con trỏ hai chiều (before/after), sắp theo (created_at, id). created_at sinh ở Python chứ không dùng func.now(): trên Postgres now() trả mốc đầu transaction nên mọi tin cùng transaction sẽ trùng mốc và thứ tự loạn. Test dựng đúng kịch bản mất mạng 5 phút.</t>
        </is>
      </c>
    </row>
    <row r="55" ht="15" customHeight="1" s="38">
      <c r="A55" s="62" t="inlineStr">
        <is>
          <t>P2-04</t>
        </is>
      </c>
      <c r="B55" s="59" t="inlineStr">
        <is>
          <t>P2 - Chat &amp; Support</t>
        </is>
      </c>
      <c r="C55" s="59" t="inlineStr">
        <is>
          <t>Backend</t>
        </is>
      </c>
      <c r="D55" s="59" t="inlineStr">
        <is>
          <t>Đã đọc (read receipt) + đếm tin chưa đọc</t>
        </is>
      </c>
      <c r="E55" s="59" t="inlineStr">
        <is>
          <t>Số chưa đọc đúng trên mọi thiết bị</t>
        </is>
      </c>
      <c r="F55" s="62" t="inlineStr">
        <is>
          <t>BE</t>
        </is>
      </c>
      <c r="G55" s="59" t="n"/>
      <c r="H55" s="63" t="n">
        <v>2</v>
      </c>
      <c r="I55" s="62" t="inlineStr">
        <is>
          <t>P1-Cao</t>
        </is>
      </c>
      <c r="J55" s="59" t="inlineStr">
        <is>
          <t>Chat service</t>
        </is>
      </c>
      <c r="K55" s="62" t="inlineStr">
        <is>
          <t>Đã xong</t>
        </is>
      </c>
      <c r="L55" s="64" t="n">
        <v>1</v>
      </c>
      <c r="M55" s="63">
        <f>H55*(1-L55)</f>
        <v/>
      </c>
      <c r="N55" s="62" t="n"/>
      <c r="O55" s="59" t="inlineStr">
        <is>
          <t>04/09 XONG: mark_read() chỉ tiến không lùi (hai thiết bị đọc lệch nhau không làm số chưa đọc nhảy ngược), unread_count không tính tin của chính mình. Có endpoint POST /chat/conversations/{id}/read.</t>
        </is>
      </c>
    </row>
    <row r="56" ht="15" customHeight="1" s="38">
      <c r="A56" s="62" t="inlineStr">
        <is>
          <t>P2-05</t>
        </is>
      </c>
      <c r="B56" s="59" t="inlineStr">
        <is>
          <t>P2 - Chat &amp; Support</t>
        </is>
      </c>
      <c r="C56" s="59" t="inlineStr">
        <is>
          <t>Backend</t>
        </is>
      </c>
      <c r="D56" s="59" t="inlineStr">
        <is>
          <t>Đang gõ (typing) qua WS, không lưu DB</t>
        </is>
      </c>
      <c r="E56" s="59" t="inlineStr">
        <is>
          <t>Hiển thị đúng, tự tắt sau 5s</t>
        </is>
      </c>
      <c r="F56" s="62" t="inlineStr">
        <is>
          <t>BE</t>
        </is>
      </c>
      <c r="G56" s="59" t="n"/>
      <c r="H56" s="63" t="n">
        <v>1</v>
      </c>
      <c r="I56" s="62" t="inlineStr">
        <is>
          <t>P2-Trung bình</t>
        </is>
      </c>
      <c r="J56" s="59" t="inlineStr">
        <is>
          <t>Chat service</t>
        </is>
      </c>
      <c r="K56" s="62" t="inlineStr">
        <is>
          <t>Đã xong</t>
        </is>
      </c>
      <c r="L56" s="64" t="n">
        <v>1</v>
      </c>
      <c r="M56" s="63">
        <f>H56*(1-L56)</f>
        <v/>
      </c>
      <c r="N56" s="62" t="n"/>
      <c r="O56" s="59" t="inlineStr">
        <is>
          <t>04/09 XONG: chat.typing đi qua WS, KHÔNG lưu DB, chỉ chuyển tiếp cho thành viên còn lại và không dội về người gõ. Có kiểm tư cách thành viên trên kênh WS y như REST — test bảo mật chứng minh người ngoài biết id hội thoại vẫn không phát được tín hiệu. Tự tắt sau 5s là việc của client.</t>
        </is>
      </c>
    </row>
    <row r="57" ht="15" customHeight="1" s="38">
      <c r="A57" s="62" t="inlineStr">
        <is>
          <t>P2-06</t>
        </is>
      </c>
      <c r="B57" s="59" t="inlineStr">
        <is>
          <t>P2 - Chat &amp; Support</t>
        </is>
      </c>
      <c r="C57" s="59" t="inlineStr">
        <is>
          <t>Backend</t>
        </is>
      </c>
      <c r="D57" s="59" t="inlineStr">
        <is>
          <t>Tin hệ thống: CSKH tham gia/rời hội thoại 3 bên</t>
        </is>
      </c>
      <c r="E57" s="59" t="inlineStr">
        <is>
          <t>Khách và tài xế đều thấy thông báo khi agent vào</t>
        </is>
      </c>
      <c r="F57" s="62" t="inlineStr">
        <is>
          <t>BE</t>
        </is>
      </c>
      <c r="G57" s="59" t="n"/>
      <c r="H57" s="63" t="n">
        <v>2</v>
      </c>
      <c r="I57" s="62" t="inlineStr">
        <is>
          <t>P0-Bắt buộc</t>
        </is>
      </c>
      <c r="J57" s="59" t="inlineStr">
        <is>
          <t>Chat service</t>
        </is>
      </c>
      <c r="K57" s="62" t="inlineStr">
        <is>
          <t>Đã xong</t>
        </is>
      </c>
      <c r="L57" s="64" t="n">
        <v>1</v>
      </c>
      <c r="M57" s="63">
        <f>H57*(1-L57)</f>
        <v/>
      </c>
      <c r="N57" s="62" t="n"/>
      <c r="O57" s="59" t="inlineStr">
        <is>
          <t>04/09 XONG: agent_join / agent_leave sinh tin hệ thống, cả khách và tài xế đều thấy. Rời hội thoại ghi mốc left_at chứ không xoá dòng — khiếu nại đến sau vài tuần vẫn tra được lúc đó ai đang ở trong cuộc.</t>
        </is>
      </c>
    </row>
    <row r="58" ht="22.35" customHeight="1" s="38">
      <c r="A58" s="62" t="inlineStr">
        <is>
          <t>P2-07</t>
        </is>
      </c>
      <c r="B58" s="59" t="inlineStr">
        <is>
          <t>P2 - Chat &amp; Support</t>
        </is>
      </c>
      <c r="C58" s="59" t="inlineStr">
        <is>
          <t>Backend</t>
        </is>
      </c>
      <c r="D58" s="59" t="inlineStr">
        <is>
          <t>Tự tạo conversation trip khi matched; Celery tự đóng sau 24h</t>
        </is>
      </c>
      <c r="E58" s="59" t="inlineStr">
        <is>
          <t>Không cần thao tác tay để mở/đóng chat chuyến</t>
        </is>
      </c>
      <c r="F58" s="62" t="inlineStr">
        <is>
          <t>BE</t>
        </is>
      </c>
      <c r="G58" s="59" t="n"/>
      <c r="H58" s="63" t="n">
        <v>3</v>
      </c>
      <c r="I58" s="62" t="inlineStr">
        <is>
          <t>P0-Bắt buộc</t>
        </is>
      </c>
      <c r="J58" s="59" t="inlineStr">
        <is>
          <t>Chat service</t>
        </is>
      </c>
      <c r="K58" s="62" t="inlineStr">
        <is>
          <t>Đã xong</t>
        </is>
      </c>
      <c r="L58" s="64" t="n">
        <v>1</v>
      </c>
      <c r="M58" s="63">
        <f>H58*(1-L58)</f>
        <v/>
      </c>
      <c r="N58" s="62" t="n"/>
      <c r="O58" s="59" t="inlineStr">
        <is>
          <t>04/09 XONG: accept_offer() tự mở hội thoại ngay khi ghép xong; Celery beat close-stale-chat chạy mỗi giờ đóng hội thoại của chuyến đã kết thúc quá 24h. Không có thao tác tay nào.</t>
        </is>
      </c>
    </row>
    <row r="59" ht="22.35" customHeight="1" s="38">
      <c r="A59" s="62" t="inlineStr">
        <is>
          <t>P2-08</t>
        </is>
      </c>
      <c r="B59" s="59" t="inlineStr">
        <is>
          <t>P2 - Chat &amp; Support</t>
        </is>
      </c>
      <c r="C59" s="59" t="inlineStr">
        <is>
          <t>Backend</t>
        </is>
      </c>
      <c r="D59" s="59" t="inlineStr">
        <is>
          <t>domains/support: ticket, SLA, phân công, escalate, ticket_events</t>
        </is>
      </c>
      <c r="E59" s="59" t="inlineStr">
        <is>
          <t>SLA quá hạn tự escalate lên cs_lead</t>
        </is>
      </c>
      <c r="F59" s="62" t="inlineStr">
        <is>
          <t>BE</t>
        </is>
      </c>
      <c r="G59" s="59" t="n"/>
      <c r="H59" s="63" t="n">
        <v>5</v>
      </c>
      <c r="I59" s="62" t="inlineStr">
        <is>
          <t>P0-Bắt buộc</t>
        </is>
      </c>
      <c r="J59" s="59" t="inlineStr">
        <is>
          <t>Data model chat</t>
        </is>
      </c>
      <c r="K59" s="62" t="inlineStr">
        <is>
          <t>Đã xong</t>
        </is>
      </c>
      <c r="L59" s="64" t="n">
        <v>1</v>
      </c>
      <c r="M59" s="63">
        <f>H59*(1-L59)</f>
        <v/>
      </c>
      <c r="N59" s="62" t="n"/>
      <c r="O59" s="59" t="inlineStr">
        <is>
          <t>04/09 XONG: domains/support đủ ticket + ticket_events + SLA + leo thang. Migration 0010 chạy sạch cả hai chiều trên PostgreSQL 16 thật. SLA đo PHẢN HỒI ĐẦU TIÊN (đo lúc đóng ticket thì mọi chỉ số đều đẹp và không nói gì cả); quá hạn thì beat mỗi phút tự đẩy sang escalated. Agent offline quá 10 phút thì ticket tự quay về hàng đợi. Mức ưu tiên do LOẠI vấn đề quyết định: khách đánh dấu một vụ tai nạn là 'thấp' vẫn thành urgent.</t>
        </is>
      </c>
    </row>
    <row r="60" ht="22.35" customHeight="1" s="38">
      <c r="A60" s="62" t="inlineStr">
        <is>
          <t>P2-09</t>
        </is>
      </c>
      <c r="B60" s="59" t="inlineStr">
        <is>
          <t>P2 - Chat &amp; Support</t>
        </is>
      </c>
      <c r="C60" s="59" t="inlineStr">
        <is>
          <t>Backend</t>
        </is>
      </c>
      <c r="D60" s="59" t="inlineStr">
        <is>
          <t>Tự phân phối ticket theo agent_presence (slot, đội, lịch sử khách)</t>
        </is>
      </c>
      <c r="E60" s="59" t="inlineStr">
        <is>
          <t>Ticket mới vào đúng agent còn slot</t>
        </is>
      </c>
      <c r="F60" s="62" t="inlineStr">
        <is>
          <t>BE</t>
        </is>
      </c>
      <c r="G60" s="59" t="n"/>
      <c r="H60" s="63" t="n">
        <v>3</v>
      </c>
      <c r="I60" s="62" t="inlineStr">
        <is>
          <t>P1-Cao</t>
        </is>
      </c>
      <c r="J60" s="59" t="inlineStr">
        <is>
          <t>domains/support</t>
        </is>
      </c>
      <c r="K60" s="62" t="inlineStr">
        <is>
          <t>Đã xong</t>
        </is>
      </c>
      <c r="L60" s="64" t="n">
        <v>1</v>
      </c>
      <c r="M60" s="63">
        <f>H60*(1-L60)</f>
        <v/>
      </c>
      <c r="N60" s="62" t="n"/>
      <c r="O60" s="59" t="inlineStr">
        <is>
          <t>04/09 XONG: pick_agent() lọc theo đúng đội + còn slot + đang trực, rồi ưu tiên agent ĐÃ TỪNG xử lý ticket của chính khách này (kể lại từ đầu cho người mới là cách nhanh nhất làm khách tức giận thêm lần nữa). Cả đội kín thì ticket nằm hàng đợi chung ở trạng thái new, không gán bừa cho người đang bận.</t>
        </is>
      </c>
    </row>
    <row r="61" ht="15" customHeight="1" s="38">
      <c r="A61" s="62" t="inlineStr">
        <is>
          <t>P2-10</t>
        </is>
      </c>
      <c r="B61" s="59" t="inlineStr">
        <is>
          <t>P2 - Chat &amp; Support</t>
        </is>
      </c>
      <c r="C61" s="59" t="inlineStr">
        <is>
          <t>Backend</t>
        </is>
      </c>
      <c r="D61" s="59" t="inlineStr">
        <is>
          <t>Canned responses theo đội + gõ tắt</t>
        </is>
      </c>
      <c r="E61" s="59" t="inlineStr">
        <is>
          <t>Agent gõ /hoantien ra mẫu trả lời</t>
        </is>
      </c>
      <c r="F61" s="62" t="inlineStr">
        <is>
          <t>BE</t>
        </is>
      </c>
      <c r="G61" s="59" t="n"/>
      <c r="H61" s="63" t="n">
        <v>2</v>
      </c>
      <c r="I61" s="62" t="inlineStr">
        <is>
          <t>P2-Trung bình</t>
        </is>
      </c>
      <c r="J61" s="59" t="inlineStr">
        <is>
          <t>domains/support</t>
        </is>
      </c>
      <c r="K61" s="62" t="inlineStr">
        <is>
          <t>Đã xong</t>
        </is>
      </c>
      <c r="L61" s="64" t="n">
        <v>1</v>
      </c>
      <c r="M61" s="63">
        <f>H61*(1-L61)</f>
        <v/>
      </c>
      <c r="N61" s="62" t="n"/>
      <c r="O61" s="59" t="inlineStr">
        <is>
          <t>04/09 XONG: canned_responses theo đội + gõ tắt. /hoantien và hoantien đều ra mẫu; mẫu của đội khác không lẫn sang; mẫu tắt (is_active=false) không gọi ra được. Sửa mẫu đòi quyền support:conversation:read_all — một câu trả lời sai gửi cho hàng nghìn khách.</t>
        </is>
      </c>
    </row>
    <row r="62" ht="22.35" customHeight="1" s="38">
      <c r="A62" s="62" t="inlineStr">
        <is>
          <t>P2-11</t>
        </is>
      </c>
      <c r="B62" s="59" t="inlineStr">
        <is>
          <t>P2 - Chat &amp; Support</t>
        </is>
      </c>
      <c r="C62" s="59" t="inlineStr">
        <is>
          <t>Backend</t>
        </is>
      </c>
      <c r="D62" s="59" t="inlineStr">
        <is>
          <t>Bộ lọc phát hiện thanh toán ngoài app trong tin nhắn → gắn cờ</t>
        </is>
      </c>
      <c r="E62" s="59" t="inlineStr">
        <is>
          <t>Phát hiện số tài khoản/link ví, KHÔNG chặn tin, đẩy vào hàng đợi risk</t>
        </is>
      </c>
      <c r="F62" s="62" t="inlineStr">
        <is>
          <t>BE</t>
        </is>
      </c>
      <c r="G62" s="59" t="n"/>
      <c r="H62" s="63" t="n">
        <v>3</v>
      </c>
      <c r="I62" s="62" t="inlineStr">
        <is>
          <t>P1-Cao</t>
        </is>
      </c>
      <c r="J62" s="59" t="inlineStr">
        <is>
          <t>Chat service</t>
        </is>
      </c>
      <c r="K62" s="62" t="inlineStr">
        <is>
          <t>Đã xong</t>
        </is>
      </c>
      <c r="L62" s="64" t="n">
        <v>1</v>
      </c>
      <c r="M62" s="63">
        <f>H62*(1-L62)</f>
        <v/>
      </c>
      <c r="N62" s="62" t="n"/>
      <c r="O62" s="59" t="inlineStr">
        <is>
          <t>04/09 XONG: detect_off_app_payment() quét số tài khoản, tên ngân hàng, link ví, lời rủ chuyển khoản → gắn cờ để rà soát. CỐ Ý KHÔNG CHẶN TIN: chặn nhầm là hai bên chuyển sang Zalo và mất luôn dấu vết, tệ hơn nhiều so với một cờ báo nhầm. Tin hệ thống không bị quét.</t>
        </is>
      </c>
    </row>
    <row r="63" ht="15" customHeight="1" s="38">
      <c r="A63" s="62" t="inlineStr">
        <is>
          <t>P2-12</t>
        </is>
      </c>
      <c r="B63" s="59" t="inlineStr">
        <is>
          <t>P2 - Chat &amp; Support</t>
        </is>
      </c>
      <c r="C63" s="59" t="inlineStr">
        <is>
          <t>Backend</t>
        </is>
      </c>
      <c r="D63" s="59" t="inlineStr">
        <is>
          <t>Upload ảnh: presigned S3, quét virus, giới hạn 5MB</t>
        </is>
      </c>
      <c r="E63" s="59" t="inlineStr">
        <is>
          <t>Ảnh chỉ đọc được qua URL ký hạn 15 phút</t>
        </is>
      </c>
      <c r="F63" s="62" t="inlineStr">
        <is>
          <t>BE</t>
        </is>
      </c>
      <c r="G63" s="59" t="n"/>
      <c r="H63" s="63" t="n">
        <v>4</v>
      </c>
      <c r="I63" s="62" t="inlineStr">
        <is>
          <t>P1-Cao</t>
        </is>
      </c>
      <c r="J63" s="59" t="inlineStr">
        <is>
          <t>Data model chat</t>
        </is>
      </c>
      <c r="K63" s="62" t="inlineStr">
        <is>
          <t>Đã xong</t>
        </is>
      </c>
      <c r="L63" s="64" t="n">
        <v>1</v>
      </c>
      <c r="M63" s="63">
        <f>H63*(1-L63)</f>
        <v/>
      </c>
      <c r="N63" s="62" t="n"/>
      <c r="O63" s="59" t="inlineStr">
        <is>
          <t>04/09 XONG: POST /chat/attachments cấp URL tải lên ký hạn 15 phút, ảnh đi THẲNG lên kho chứ không qua backend (một ảnh 5MB đi qua API là chiếm một worker suốt thời gian truyền). Khoá lưu trữ do SERVER sinh — cho client đặt tên là cho phép ghi đè tệp của người khác bằng cách đoán tên. Chặn quá 5MB và sai định dạng NGAY lúc xin URL. URL đọc sinh mới mỗi lần xem, không lưu. Không gắn được ảnh của người khác / của hội thoại khác / gắn hai lần. Beat 4h sáng dọn tệp xin URL rồi bỏ ngang. LƯU Ý: quét virus vẫn là chỗ trống — cột scanned_at/scan_result đã có, cần nhà cung cấp thật.</t>
        </is>
      </c>
    </row>
    <row r="64" ht="15" customHeight="1" s="38">
      <c r="A64" s="62" t="inlineStr">
        <is>
          <t>P2-13</t>
        </is>
      </c>
      <c r="B64" s="59" t="inlineStr">
        <is>
          <t>P2 - Chat &amp; Support</t>
        </is>
      </c>
      <c r="C64" s="59" t="inlineStr">
        <is>
          <t>Backend</t>
        </is>
      </c>
      <c r="D64" s="59" t="inlineStr">
        <is>
          <t>Push FCM khi người nhận offline (chat + offer chuyến)</t>
        </is>
      </c>
      <c r="E64" s="59" t="inlineStr">
        <is>
          <t>Tin nhắn tới máy trong 5 giây khi app đóng</t>
        </is>
      </c>
      <c r="F64" s="62" t="inlineStr">
        <is>
          <t>BE</t>
        </is>
      </c>
      <c r="G64" s="59" t="n"/>
      <c r="H64" s="63" t="n">
        <v>4</v>
      </c>
      <c r="I64" s="62" t="inlineStr">
        <is>
          <t>P0-Bắt buộc</t>
        </is>
      </c>
      <c r="J64" s="59" t="inlineStr">
        <is>
          <t>Chat service</t>
        </is>
      </c>
      <c r="K64" s="62" t="inlineStr">
        <is>
          <t>Đã xong</t>
        </is>
      </c>
      <c r="L64" s="64" t="n">
        <v>1</v>
      </c>
      <c r="M64" s="63">
        <f>H64*(1-L64)</f>
        <v/>
      </c>
      <c r="N64" s="62" t="n"/>
      <c r="O64" s="59" t="inlineStr">
        <is>
          <t>04/09 XONG: bảng push_tokens (một dòng cho mỗi TOKEN, không phải mỗi người) + integrations/push.py. Gửi tin xong đẩy việc vào Celery với countdown 5 giây; lúc chạy mới kiểm lại, còn chưa đọc thì mới push. Bắn ngay là gửi thông báo cho tin người ta vừa đọc xong — cách nhanh nhất để người dùng tắt thông báo của ứng dụng. NỘI DUNG TIN KHÔNG vào payload: thông báo hiện trên màn hình khoá. Token chết bị gỡ ngay sau lần gửi thất bại; token đổi chủ khi máy đó đăng nhập tài khoản khác.</t>
        </is>
      </c>
    </row>
    <row r="65" ht="22.35" customHeight="1" s="38">
      <c r="A65" s="62" t="inlineStr">
        <is>
          <t>P2-14</t>
        </is>
      </c>
      <c r="B65" s="59" t="inlineStr">
        <is>
          <t>P2 - Chat &amp; Support</t>
        </is>
      </c>
      <c r="C65" s="59" t="inlineStr">
        <is>
          <t>Backend</t>
        </is>
      </c>
      <c r="D65" s="59" t="inlineStr">
        <is>
          <t>Refactor WS gateway: đa topic (user/conv/ops), ack, auth.expired</t>
        </is>
      </c>
      <c r="E65" s="59" t="inlineStr">
        <is>
          <t>1 kết nối phục vụ chat + tracking + offer</t>
        </is>
      </c>
      <c r="F65" s="62" t="inlineStr">
        <is>
          <t>BE</t>
        </is>
      </c>
      <c r="G65" s="59" t="n"/>
      <c r="H65" s="63" t="n">
        <v>4</v>
      </c>
      <c r="I65" s="62" t="inlineStr">
        <is>
          <t>P0-Bắt buộc</t>
        </is>
      </c>
      <c r="J65" s="59" t="inlineStr">
        <is>
          <t>P1 xong</t>
        </is>
      </c>
      <c r="K65" s="62" t="inlineStr">
        <is>
          <t>Đã xong</t>
        </is>
      </c>
      <c r="L65" s="64" t="n">
        <v>1</v>
      </c>
      <c r="M65" s="63">
        <f>H65*(1-L65)</f>
        <v/>
      </c>
      <c r="N65" s="62" t="n"/>
      <c r="O65" s="59" t="inlineStr">
        <is>
          <t>04/09 XONG: một kết nối /ws phục vụ chat.typing + location_update + trip_offer_response + ops.fleet_update, có auth.expired khi token hết hạn giữa chừng. Cơ chế ack và hàng đợi gửi lại nay nằm ở packages/realtime-client (P2-15) — phía client giữ tin tới khi có ack, quá hạn thì gửi lại, dùng chung client_msg_id với khử trùng của backend nên gửi lại không tạo tin thứ hai.</t>
        </is>
      </c>
    </row>
    <row r="66" ht="22.35" customHeight="1" s="38">
      <c r="A66" s="62" t="inlineStr">
        <is>
          <t>P2-15</t>
        </is>
      </c>
      <c r="B66" s="59" t="inlineStr">
        <is>
          <t>P2 - Chat &amp; Support</t>
        </is>
      </c>
      <c r="C66" s="59" t="inlineStr">
        <is>
          <t>Frontend</t>
        </is>
      </c>
      <c r="D66" s="59" t="inlineStr">
        <is>
          <t>packages/realtime-client: WS client dùng chung (reconnect, ack, hàng đợi)</t>
        </is>
      </c>
      <c r="E66" s="59" t="inlineStr">
        <is>
          <t>Dùng được ở cả web và React Native</t>
        </is>
      </c>
      <c r="F66" s="62" t="inlineStr">
        <is>
          <t>FE</t>
        </is>
      </c>
      <c r="G66" s="59" t="n"/>
      <c r="H66" s="63" t="n">
        <v>5</v>
      </c>
      <c r="I66" s="62" t="inlineStr">
        <is>
          <t>P0-Bắt buộc</t>
        </is>
      </c>
      <c r="J66" s="59" t="inlineStr">
        <is>
          <t>WS gateway</t>
        </is>
      </c>
      <c r="K66" s="62" t="inlineStr">
        <is>
          <t>Đã xong</t>
        </is>
      </c>
      <c r="L66" s="64" t="n">
        <v>1</v>
      </c>
      <c r="M66" s="63">
        <f>H66*(1-L66)</f>
        <v/>
      </c>
      <c r="N66" s="62" t="n"/>
      <c r="O66" s="59" t="inlineStr">
        <is>
          <t>04/09 XONG: packages/realtime-client — không phụ thuộc DOM ngoài WebSocket nên chạy được cả web lẫn React Native. Nối lại LÙI DẦN có nhiễu ngẫu nhiên (1s→30s): nối lại ngay mỗi giây là cách biến một sự cố ngắn của server thành sự cố dài, vì server vừa sống lại thì toàn bộ client đập vào cùng lúc. Gửi lúc đang đứt thì xếp hàng chứ không ném lỗi. URL là HÀM chứ không phải chuỗi — nối lại phải dùng token mới, không phải token đã chết. 15 test, trong đó test bắt được một lỗi thật: sau khi createSocket ném lỗi, client kẹt ở trạng thái 'connecting' và không bao giờ thử lại nữa.</t>
        </is>
      </c>
    </row>
    <row r="67" ht="22.35" customHeight="1" s="38">
      <c r="A67" s="62" t="inlineStr">
        <is>
          <t>P2-16</t>
        </is>
      </c>
      <c r="B67" s="59" t="inlineStr">
        <is>
          <t>P2 - Chat &amp; Support</t>
        </is>
      </c>
      <c r="C67" s="59" t="inlineStr">
        <is>
          <t>Frontend</t>
        </is>
      </c>
      <c r="D67" s="59" t="inlineStr">
        <is>
          <t>Console: Support Desk (hàng đợi, khung chat, thông tin khách, ticket)</t>
        </is>
      </c>
      <c r="E67" s="59" t="inlineStr">
        <is>
          <t>Agent xử lý trọn 1 ticket không rời màn hình</t>
        </is>
      </c>
      <c r="F67" s="62" t="inlineStr">
        <is>
          <t>FE</t>
        </is>
      </c>
      <c r="G67" s="59" t="n"/>
      <c r="H67" s="63" t="n">
        <v>8</v>
      </c>
      <c r="I67" s="62" t="inlineStr">
        <is>
          <t>P0-Bắt buộc</t>
        </is>
      </c>
      <c r="J67" s="59" t="inlineStr">
        <is>
          <t>domains/support</t>
        </is>
      </c>
      <c r="K67" s="62" t="inlineStr">
        <is>
          <t>Đã xong</t>
        </is>
      </c>
      <c r="L67" s="64" t="n">
        <v>1</v>
      </c>
      <c r="M67" s="63">
        <f>H67*(1-L67)</f>
        <v/>
      </c>
      <c r="N67" s="62" t="n"/>
      <c r="O67" s="59" t="inlineStr">
        <is>
          <t>04/09 XONG: màn hình Support Desk hai cột — hàng đợi (sắp theo hạn SLA, tự làm mới 15 giây, ticket quá hạn hiện đỏ) và khung xử lý (thông tin ticket + hội thoại + ô soạn). MỘT nút 'Gửi trả lời' gọi endpoint làm cả ba việc ở backend: vào hội thoại, gửi tin, đóng đồng hồ SLA — tách ra ba nút là mời agent quên hai nút cuối rồi báo cáo hiện 'chưa phản hồi' cho ticket đã trả lời. Gõ tắt /hoantien chèn mẫu ngay trong ô soạn.</t>
        </is>
      </c>
    </row>
    <row r="68" ht="15" customHeight="1" s="38">
      <c r="A68" s="62" t="inlineStr">
        <is>
          <t>P2-17</t>
        </is>
      </c>
      <c r="B68" s="59" t="inlineStr">
        <is>
          <t>P2 - Chat &amp; Support</t>
        </is>
      </c>
      <c r="C68" s="59" t="inlineStr">
        <is>
          <t>Frontend</t>
        </is>
      </c>
      <c r="D68" s="59" t="inlineStr">
        <is>
          <t>Console: nút tham gia / rời hội thoại 3 bên</t>
        </is>
      </c>
      <c r="E68" s="59" t="inlineStr">
        <is>
          <t>Agent vào chat chuyến, cả 2 bên thấy</t>
        </is>
      </c>
      <c r="F68" s="62" t="inlineStr">
        <is>
          <t>FE</t>
        </is>
      </c>
      <c r="G68" s="59" t="n"/>
      <c r="H68" s="63" t="n">
        <v>2</v>
      </c>
      <c r="I68" s="62" t="inlineStr">
        <is>
          <t>P0-Bắt buộc</t>
        </is>
      </c>
      <c r="J68" s="59" t="inlineStr">
        <is>
          <t>Tin hệ thống 3 bên</t>
        </is>
      </c>
      <c r="K68" s="62" t="inlineStr">
        <is>
          <t>Đã xong</t>
        </is>
      </c>
      <c r="L68" s="64" t="n">
        <v>1</v>
      </c>
      <c r="M68" s="63">
        <f>H68*(1-L68)</f>
        <v/>
      </c>
      <c r="N68" s="62" t="n"/>
      <c r="O68" s="59" t="inlineStr">
        <is>
          <t>04/09 XONG: nút Tham gia chat / Rời chat ngay trong màn hình ticket, gọi /ops/chat/conversations/{id}/join|leave. Cả khách và tài xế đều thấy tin hệ thống; rời đi ghi mốc left_at chứ không xoá dòng.</t>
        </is>
      </c>
    </row>
    <row r="69" ht="22.35" customHeight="1" s="38">
      <c r="A69" s="62" t="inlineStr">
        <is>
          <t>P2-18</t>
        </is>
      </c>
      <c r="B69" s="59" t="inlineStr">
        <is>
          <t>P2 - Chat &amp; Support</t>
        </is>
      </c>
      <c r="C69" s="59" t="inlineStr">
        <is>
          <t>Frontend</t>
        </is>
      </c>
      <c r="D69" s="59" t="inlineStr">
        <is>
          <t>Console: tra cứu lịch sử chat theo khách/tài xế/chuyến</t>
        </is>
      </c>
      <c r="E69" s="59" t="inlineStr">
        <is>
          <t>Tìm được hội thoại cũ phục vụ khiếu nại; mỗi lần xem ghi audit</t>
        </is>
      </c>
      <c r="F69" s="62" t="inlineStr">
        <is>
          <t>FE</t>
        </is>
      </c>
      <c r="G69" s="59" t="n"/>
      <c r="H69" s="63" t="n">
        <v>3</v>
      </c>
      <c r="I69" s="62" t="inlineStr">
        <is>
          <t>P1-Cao</t>
        </is>
      </c>
      <c r="J69" s="59" t="inlineStr">
        <is>
          <t>Chat service</t>
        </is>
      </c>
      <c r="K69" s="62" t="inlineStr">
        <is>
          <t>Đã xong</t>
        </is>
      </c>
      <c r="L69" s="64" t="n">
        <v>1</v>
      </c>
      <c r="M69" s="63">
        <f>H69*(1-L69)</f>
        <v/>
      </c>
      <c r="N69" s="62" t="n"/>
      <c r="O69" s="59" t="inlineStr">
        <is>
          <t>04/09 XONG: màn hình Tra cứu lịch sử chat — lọc theo khách hoặc chuyến, mở đọc nội dung. Đòi quyền support:conversation:read_all (không phải read_own) và mỗi lần mở đều nằm trong nhật ký thao tác: tra cứu được mà không để lại dấu vết thì không còn là tra cứu, nó là đọc trộm. Giao diện nói thẳng điều đó với người xem.</t>
        </is>
      </c>
    </row>
    <row r="70" ht="15" customHeight="1" s="38">
      <c r="A70" s="62" t="inlineStr">
        <is>
          <t>P2-19</t>
        </is>
      </c>
      <c r="B70" s="59" t="inlineStr">
        <is>
          <t>P2 - Chat &amp; Support</t>
        </is>
      </c>
      <c r="C70" s="59" t="inlineStr">
        <is>
          <t>Frontend</t>
        </is>
      </c>
      <c r="D70" s="59" t="inlineStr">
        <is>
          <t>Console: bảng SLA &amp; hiệu suất agent</t>
        </is>
      </c>
      <c r="E70" s="59" t="inlineStr">
        <is>
          <t>Thấy phản hồi đầu, thời gian xử lý, tỷ lệ reopen</t>
        </is>
      </c>
      <c r="F70" s="62" t="inlineStr">
        <is>
          <t>FE</t>
        </is>
      </c>
      <c r="G70" s="59" t="n"/>
      <c r="H70" s="63" t="n">
        <v>3</v>
      </c>
      <c r="I70" s="62" t="inlineStr">
        <is>
          <t>P1-Cao</t>
        </is>
      </c>
      <c r="J70" s="59" t="inlineStr">
        <is>
          <t>domains/support</t>
        </is>
      </c>
      <c r="K70" s="62" t="inlineStr">
        <is>
          <t>Đã xong</t>
        </is>
      </c>
      <c r="L70" s="64" t="n">
        <v>1</v>
      </c>
      <c r="M70" s="63">
        <f>H70*(1-L70)</f>
        <v/>
      </c>
      <c r="N70" s="62" t="n"/>
      <c r="O70" s="59" t="inlineStr">
        <is>
          <t>04/09 XONG: GET /ops/support/stats + màn hình SLA CSKH. Bốn chỉ số §7.5: phản hồi đầu, thời gian xử lý, tỷ lệ reopen, tỷ lệ đạt SLA — theo tổng và theo từng agent. Quá hạn chưa phản hồi đếm trên ticket CÒN MỞ, không đợi tới lúc đóng. Chỉ số rỗng hiện là '—' chứ KHÔNG phải 0: 'chưa có số liệu' và 'phản hồi tức thì' là hai chuyện khác nhau, biến cái đầu thành 0 là nói dối bằng biểu đồ.</t>
        </is>
      </c>
    </row>
    <row r="71" ht="15" customHeight="1" s="38">
      <c r="A71" s="62" t="inlineStr">
        <is>
          <t>P2-20</t>
        </is>
      </c>
      <c r="B71" s="59" t="inlineStr">
        <is>
          <t>P2 - Chat &amp; Support</t>
        </is>
      </c>
      <c r="C71" s="59" t="inlineStr">
        <is>
          <t>Backend</t>
        </is>
      </c>
      <c r="D71" s="59" t="inlineStr">
        <is>
          <t>Job ẩn danh hoá chat quá hạn lưu trữ (12/24 tháng)</t>
        </is>
      </c>
      <c r="E71" s="59" t="inlineStr">
        <is>
          <t>Celery beat chạy đúng, có log</t>
        </is>
      </c>
      <c r="F71" s="62" t="inlineStr">
        <is>
          <t>BE</t>
        </is>
      </c>
      <c r="G71" s="59" t="n"/>
      <c r="H71" s="63" t="n">
        <v>2</v>
      </c>
      <c r="I71" s="62" t="inlineStr">
        <is>
          <t>P2-Trung bình</t>
        </is>
      </c>
      <c r="J71" s="59" t="inlineStr">
        <is>
          <t>Data model chat</t>
        </is>
      </c>
      <c r="K71" s="62" t="inlineStr">
        <is>
          <t>Đã xong</t>
        </is>
      </c>
      <c r="L71" s="64" t="n">
        <v>1</v>
      </c>
      <c r="M71" s="63">
        <f>H71*(1-L71)</f>
        <v/>
      </c>
      <c r="N71" s="62" t="n"/>
      <c r="O71" s="59" t="inlineStr">
        <is>
          <t>04/09 XONG: beat 4h30 sáng ẩn danh hoá tin quá hạn — chat chuyến 12 tháng, chat hỗ trợ 24 tháng (bằng chứng khiếu nại, mà khiếu nại đến muộn). ẨN DANH HOÁ chứ không xoá dòng: xoá là mất luôn khả năng trả lời 'hai người này có từng nhắn tin cho nhau không' — câu hỏi mà cả toà án lẫn đội chống gian lận đều sẽ hỏi. Chạy lại không đếm lại dòng đã xử lý.</t>
        </is>
      </c>
    </row>
    <row r="72" ht="22.35" customHeight="1" s="38">
      <c r="A72" s="62" t="inlineStr">
        <is>
          <t>P2-21</t>
        </is>
      </c>
      <c r="B72" s="59" t="inlineStr">
        <is>
          <t>P2 - Chat &amp; Support</t>
        </is>
      </c>
      <c r="C72" s="59" t="inlineStr">
        <is>
          <t>QA</t>
        </is>
      </c>
      <c r="D72" s="59" t="inlineStr">
        <is>
          <t>Kịch bản: 3 bên, mất mạng giữa chừng, gửi trùng, ảnh, push</t>
        </is>
      </c>
      <c r="E72" s="59" t="inlineStr">
        <is>
          <t>Không mất tin, không trùng tin trong mọi kịch bản</t>
        </is>
      </c>
      <c r="F72" s="62" t="inlineStr">
        <is>
          <t>FE</t>
        </is>
      </c>
      <c r="G72" s="59" t="n"/>
      <c r="H72" s="63" t="n">
        <v>3</v>
      </c>
      <c r="I72" s="62" t="inlineStr">
        <is>
          <t>P0-Bắt buộc</t>
        </is>
      </c>
      <c r="J72" s="59" t="inlineStr">
        <is>
          <t>Console Support Desk</t>
        </is>
      </c>
      <c r="K72" s="62" t="inlineStr">
        <is>
          <t>Đã xong</t>
        </is>
      </c>
      <c r="L72" s="64" t="n">
        <v>1</v>
      </c>
      <c r="M72" s="63">
        <f>H72*(1-L72)</f>
        <v/>
      </c>
      <c r="N72" s="62" t="n"/>
      <c r="O72" s="59" t="inlineStr">
        <is>
          <t>04/09 XONG: tests/domains/test_chat_scenarios.py — 10 kịch bản trọn vòng đi qua đúng chuỗi middleware thật (mất mạng giữa chừng + gửi trùng, CSKH vào/ra 3 bên, gửi ảnh rồi tra cứu lại khi khiếu nại, push khi đóng app, vòng ticket từ mở tới reopen, hai thiết bị đọc lệch, hội thoại đóng sau 24h, cờ ngoài app, thu quyền khi rời hội thoại, tin hệ thống). Mỗi bài kết thúc bằng phép đếm 'không mất tin, không trùng tin'. Kèm 11 bước mới trong make smoke (33/33 trên Postgres thật). BẮT ĐƯỢC LỖI THẬT: gửi lại ảnh sau khi mất sóng bị trả 409 vì router gắn ảnh TRƯỚC khi khử trùng tin — đúng lúc người dùng đang cố gửi ảnh hiện trường tai nạn. Đã sửa và có test hồi quy riêng.</t>
        </is>
      </c>
    </row>
    <row r="73" ht="15" customHeight="1" s="38">
      <c r="A73" s="62" t="inlineStr">
        <is>
          <t>P3-01</t>
        </is>
      </c>
      <c r="B73" s="59" t="inlineStr">
        <is>
          <t>P3 - Driver App</t>
        </is>
      </c>
      <c r="C73" s="59" t="inlineStr">
        <is>
          <t>Mobile</t>
        </is>
      </c>
      <c r="D73" s="59" t="inlineStr">
        <is>
          <t>Expo scaffold: navigation, theme, i18n, cấu hình build</t>
        </is>
      </c>
      <c r="E73" s="59" t="inlineStr">
        <is>
          <t>Chạy được trên máy thật iOS + Android</t>
        </is>
      </c>
      <c r="F73" s="62" t="inlineStr">
        <is>
          <t>MOB</t>
        </is>
      </c>
      <c r="G73" s="59" t="n"/>
      <c r="H73" s="63" t="n">
        <v>4</v>
      </c>
      <c r="I73" s="62" t="inlineStr">
        <is>
          <t>P0-Bắt buộc</t>
        </is>
      </c>
      <c r="J73" s="59" t="inlineStr">
        <is>
          <t>P2 xong</t>
        </is>
      </c>
      <c r="K73" s="62" t="inlineStr">
        <is>
          <t>Chưa bắt đầu</t>
        </is>
      </c>
      <c r="L73" s="64" t="n">
        <v>0</v>
      </c>
      <c r="M73" s="63">
        <f>H73*(1-L73)</f>
        <v/>
      </c>
      <c r="N73" s="62" t="n"/>
      <c r="O73" s="59" t="n"/>
    </row>
    <row r="74" ht="15" customHeight="1" s="38">
      <c r="A74" s="62" t="inlineStr">
        <is>
          <t>P3-02</t>
        </is>
      </c>
      <c r="B74" s="59" t="inlineStr">
        <is>
          <t>P3 - Driver App</t>
        </is>
      </c>
      <c r="C74" s="59" t="inlineStr">
        <is>
          <t>Mobile</t>
        </is>
      </c>
      <c r="D74" s="59" t="inlineStr">
        <is>
          <t>Auth OTP + lưu token bằng SecureStore + tự refresh</t>
        </is>
      </c>
      <c r="E74" s="59" t="inlineStr">
        <is>
          <t>Không phải đăng nhập lại mỗi ngày</t>
        </is>
      </c>
      <c r="F74" s="62" t="inlineStr">
        <is>
          <t>MOB</t>
        </is>
      </c>
      <c r="G74" s="59" t="n"/>
      <c r="H74" s="63" t="n">
        <v>3</v>
      </c>
      <c r="I74" s="62" t="inlineStr">
        <is>
          <t>P0-Bắt buộc</t>
        </is>
      </c>
      <c r="J74" s="59" t="inlineStr">
        <is>
          <t>Expo scaffold</t>
        </is>
      </c>
      <c r="K74" s="62" t="inlineStr">
        <is>
          <t>Chưa bắt đầu</t>
        </is>
      </c>
      <c r="L74" s="64" t="n">
        <v>0</v>
      </c>
      <c r="M74" s="63">
        <f>H74*(1-L74)</f>
        <v/>
      </c>
      <c r="N74" s="62" t="n"/>
      <c r="O74" s="59" t="n"/>
    </row>
    <row r="75" ht="22.35" customHeight="1" s="38">
      <c r="A75" s="62" t="inlineStr">
        <is>
          <t>P3-03</t>
        </is>
      </c>
      <c r="B75" s="59" t="inlineStr">
        <is>
          <t>P3 - Driver App</t>
        </is>
      </c>
      <c r="C75" s="59" t="inlineStr">
        <is>
          <t>Mobile</t>
        </is>
      </c>
      <c r="D75" s="59" t="inlineStr">
        <is>
          <t>Onboarding: chụp CCCD/GPLX, upload, theo dõi trạng thái duyệt</t>
        </is>
      </c>
      <c r="E75" s="59" t="inlineStr">
        <is>
          <t>Nộp hồ sơ đến khi được duyệt, thấy lý do nếu bị từ chối</t>
        </is>
      </c>
      <c r="F75" s="62" t="inlineStr">
        <is>
          <t>MOB</t>
        </is>
      </c>
      <c r="G75" s="59" t="n"/>
      <c r="H75" s="63" t="n">
        <v>5</v>
      </c>
      <c r="I75" s="62" t="inlineStr">
        <is>
          <t>P0-Bắt buộc</t>
        </is>
      </c>
      <c r="J75" s="59" t="inlineStr">
        <is>
          <t>API /ops/drivers</t>
        </is>
      </c>
      <c r="K75" s="62" t="inlineStr">
        <is>
          <t>Chưa bắt đầu</t>
        </is>
      </c>
      <c r="L75" s="64" t="n">
        <v>0</v>
      </c>
      <c r="M75" s="63">
        <f>H75*(1-L75)</f>
        <v/>
      </c>
      <c r="N75" s="62" t="n"/>
      <c r="O75" s="59" t="n"/>
    </row>
    <row r="76" ht="15" customHeight="1" s="38">
      <c r="A76" s="62" t="inlineStr">
        <is>
          <t>P3-04</t>
        </is>
      </c>
      <c r="B76" s="59" t="inlineStr">
        <is>
          <t>P3 - Driver App</t>
        </is>
      </c>
      <c r="C76" s="59" t="inlineStr">
        <is>
          <t>Backend</t>
        </is>
      </c>
      <c r="D76" s="59" t="inlineStr">
        <is>
          <t>Tích hợp eKYC thật (VNPT/FPT.AI) thay mock</t>
        </is>
      </c>
      <c r="E76" s="59" t="inlineStr">
        <is>
          <t>Đối chiếu khuôn mặt và hạn GPLX bằng API thật</t>
        </is>
      </c>
      <c r="F76" s="62" t="inlineStr">
        <is>
          <t>BE</t>
        </is>
      </c>
      <c r="G76" s="59" t="n"/>
      <c r="H76" s="63" t="n">
        <v>4</v>
      </c>
      <c r="I76" s="62" t="inlineStr">
        <is>
          <t>P0-Bắt buộc</t>
        </is>
      </c>
      <c r="J76" s="59" t="n"/>
      <c r="K76" s="62" t="inlineStr">
        <is>
          <t>Chưa bắt đầu</t>
        </is>
      </c>
      <c r="L76" s="64" t="n">
        <v>0</v>
      </c>
      <c r="M76" s="63">
        <f>H76*(1-L76)</f>
        <v/>
      </c>
      <c r="N76" s="62" t="n"/>
      <c r="O76" s="59" t="inlineStr">
        <is>
          <t>integrations/ekyc.py hiện là mock deterministic threshold 0.85</t>
        </is>
      </c>
    </row>
    <row r="77" ht="22.35" customHeight="1" s="38">
      <c r="A77" s="62" t="inlineStr">
        <is>
          <t>P3-05</t>
        </is>
      </c>
      <c r="B77" s="59" t="inlineStr">
        <is>
          <t>P3 - Driver App</t>
        </is>
      </c>
      <c r="C77" s="59" t="inlineStr">
        <is>
          <t>Mobile</t>
        </is>
      </c>
      <c r="D77" s="59" t="inlineStr">
        <is>
          <t>Màn hình ca làm: online/offline, hiển thị QR động, bản đồ nhiệt</t>
        </is>
      </c>
      <c r="E77" s="59" t="inlineStr">
        <is>
          <t>Bật ca là nhận được offer</t>
        </is>
      </c>
      <c r="F77" s="62" t="inlineStr">
        <is>
          <t>MOB</t>
        </is>
      </c>
      <c r="G77" s="59" t="n"/>
      <c r="H77" s="63" t="n">
        <v>4</v>
      </c>
      <c r="I77" s="62" t="inlineStr">
        <is>
          <t>P0-Bắt buộc</t>
        </is>
      </c>
      <c r="J77" s="59" t="inlineStr">
        <is>
          <t>Auth OTP</t>
        </is>
      </c>
      <c r="K77" s="62" t="inlineStr">
        <is>
          <t>Chưa bắt đầu</t>
        </is>
      </c>
      <c r="L77" s="64" t="n">
        <v>0</v>
      </c>
      <c r="M77" s="63">
        <f>H77*(1-L77)</f>
        <v/>
      </c>
      <c r="N77" s="62" t="n"/>
      <c r="O77" s="59" t="inlineStr">
        <is>
          <t>API drivers/me/online + heatmap đã có sẵn ở backend</t>
        </is>
      </c>
    </row>
    <row r="78" ht="22.35" customHeight="1" s="38">
      <c r="A78" s="62" t="inlineStr">
        <is>
          <t>P3-06</t>
        </is>
      </c>
      <c r="B78" s="59" t="inlineStr">
        <is>
          <t>P3 - Driver App</t>
        </is>
      </c>
      <c r="C78" s="59" t="inlineStr">
        <is>
          <t>Mobile</t>
        </is>
      </c>
      <c r="D78" s="59" t="inlineStr">
        <is>
          <t>GPS nền: background task + foreground service (Android) + UIBackgroundModes (iOS)</t>
        </is>
      </c>
      <c r="E78" s="59" t="inlineStr">
        <is>
          <t>Khoá màn hình 30 phút vẫn gửi đủ điểm</t>
        </is>
      </c>
      <c r="F78" s="62" t="inlineStr">
        <is>
          <t>MOB</t>
        </is>
      </c>
      <c r="G78" s="59" t="n"/>
      <c r="H78" s="63" t="n">
        <v>8</v>
      </c>
      <c r="I78" s="62" t="inlineStr">
        <is>
          <t>P0-Bắt buộc</t>
        </is>
      </c>
      <c r="J78" s="59" t="inlineStr">
        <is>
          <t>Màn hình ca làm</t>
        </is>
      </c>
      <c r="K78" s="62" t="inlineStr">
        <is>
          <t>Bị chặn</t>
        </is>
      </c>
      <c r="L78" s="64" t="n">
        <v>0</v>
      </c>
      <c r="M78" s="63">
        <f>H78*(1-L78)</f>
        <v/>
      </c>
      <c r="N78" s="62" t="n"/>
      <c r="O78" s="59" t="inlineStr">
        <is>
          <t>RỦI RO CAO: nếu Expo managed không đáp ứng, phải chuyển sang development build</t>
        </is>
      </c>
    </row>
    <row r="79" ht="15" customHeight="1" s="38">
      <c r="A79" s="62" t="inlineStr">
        <is>
          <t>P3-07</t>
        </is>
      </c>
      <c r="B79" s="59" t="inlineStr">
        <is>
          <t>P3 - Driver App</t>
        </is>
      </c>
      <c r="C79" s="59" t="inlineStr">
        <is>
          <t>Mobile</t>
        </is>
      </c>
      <c r="D79" s="59" t="inlineStr">
        <is>
          <t>Hàng đợi ping offline + gửi bù khi có mạng</t>
        </is>
      </c>
      <c r="E79" s="59" t="inlineStr">
        <is>
          <t>Mất mạng 10 phút không mất điểm GPS nào</t>
        </is>
      </c>
      <c r="F79" s="62" t="inlineStr">
        <is>
          <t>MOB</t>
        </is>
      </c>
      <c r="G79" s="59" t="n"/>
      <c r="H79" s="63" t="n">
        <v>4</v>
      </c>
      <c r="I79" s="62" t="inlineStr">
        <is>
          <t>P0-Bắt buộc</t>
        </is>
      </c>
      <c r="J79" s="59" t="inlineStr">
        <is>
          <t>GPS nền</t>
        </is>
      </c>
      <c r="K79" s="62" t="inlineStr">
        <is>
          <t>Chưa bắt đầu</t>
        </is>
      </c>
      <c r="L79" s="64" t="n">
        <v>0</v>
      </c>
      <c r="M79" s="63">
        <f>H79*(1-L79)</f>
        <v/>
      </c>
      <c r="N79" s="62" t="n"/>
      <c r="O79" s="59" t="inlineStr">
        <is>
          <t>Bắt buộc: GPS thiếu điểm làm sai cước và sai đối soát chạy vòng</t>
        </is>
      </c>
    </row>
    <row r="80" ht="15" customHeight="1" s="38">
      <c r="A80" s="62" t="inlineStr">
        <is>
          <t>P3-08</t>
        </is>
      </c>
      <c r="B80" s="59" t="inlineStr">
        <is>
          <t>P3 - Driver App</t>
        </is>
      </c>
      <c r="C80" s="59" t="inlineStr">
        <is>
          <t>Mobile</t>
        </is>
      </c>
      <c r="D80" s="59" t="inlineStr">
        <is>
          <t>Nhận offer qua WS + push ưu tiên cao khi app bị kill</t>
        </is>
      </c>
      <c r="E80" s="59" t="inlineStr">
        <is>
          <t>Có cuốc là máy kêu trong 5 giây</t>
        </is>
      </c>
      <c r="F80" s="62" t="inlineStr">
        <is>
          <t>MOB</t>
        </is>
      </c>
      <c r="G80" s="59" t="n"/>
      <c r="H80" s="63" t="n">
        <v>5</v>
      </c>
      <c r="I80" s="62" t="inlineStr">
        <is>
          <t>P0-Bắt buộc</t>
        </is>
      </c>
      <c r="J80" s="59" t="inlineStr">
        <is>
          <t>Push FCM</t>
        </is>
      </c>
      <c r="K80" s="62" t="inlineStr">
        <is>
          <t>Chưa bắt đầu</t>
        </is>
      </c>
      <c r="L80" s="64" t="n">
        <v>0</v>
      </c>
      <c r="M80" s="63">
        <f>H80*(1-L80)</f>
        <v/>
      </c>
      <c r="N80" s="62" t="n"/>
      <c r="O80" s="59" t="n"/>
    </row>
    <row r="81" ht="22.35" customHeight="1" s="38">
      <c r="A81" s="62" t="inlineStr">
        <is>
          <t>P3-09</t>
        </is>
      </c>
      <c r="B81" s="59" t="inlineStr">
        <is>
          <t>P3 - Driver App</t>
        </is>
      </c>
      <c r="C81" s="59" t="inlineStr">
        <is>
          <t>Mobile</t>
        </is>
      </c>
      <c r="D81" s="59" t="inlineStr">
        <is>
          <t>Điều hướng đến điểm đón/đến (Goong hoặc Mapbox SDK)</t>
        </is>
      </c>
      <c r="E81" s="59" t="inlineStr">
        <is>
          <t>Chỉ đường turn-by-turn hoạt động</t>
        </is>
      </c>
      <c r="F81" s="62" t="inlineStr">
        <is>
          <t>MOB</t>
        </is>
      </c>
      <c r="G81" s="59" t="n"/>
      <c r="H81" s="63" t="n">
        <v>4</v>
      </c>
      <c r="I81" s="62" t="inlineStr">
        <is>
          <t>P0-Bắt buộc</t>
        </is>
      </c>
      <c r="J81" s="59" t="inlineStr">
        <is>
          <t>Expo scaffold</t>
        </is>
      </c>
      <c r="K81" s="62" t="inlineStr">
        <is>
          <t>Chưa bắt đầu</t>
        </is>
      </c>
      <c r="L81" s="64" t="n">
        <v>0</v>
      </c>
      <c r="M81" s="63">
        <f>H81*(1-L81)</f>
        <v/>
      </c>
      <c r="N81" s="62" t="n"/>
      <c r="O81" s="59" t="inlineStr">
        <is>
          <t>Cần chốt nhà cung cấp bản đồ trước khi làm</t>
        </is>
      </c>
    </row>
    <row r="82" ht="22.35" customHeight="1" s="38">
      <c r="A82" s="62" t="inlineStr">
        <is>
          <t>P3-10</t>
        </is>
      </c>
      <c r="B82" s="59" t="inlineStr">
        <is>
          <t>P3 - Driver App</t>
        </is>
      </c>
      <c r="C82" s="59" t="inlineStr">
        <is>
          <t>Mobile</t>
        </is>
      </c>
      <c r="D82" s="59" t="inlineStr">
        <is>
          <t>Màn hình đang chạy chuyến + xác nhận kết thúc trong bán kính 300m</t>
        </is>
      </c>
      <c r="E82" s="59" t="inlineStr">
        <is>
          <t>Kết thúc chuyến ra đúng cước và số ký quỹ đã trích</t>
        </is>
      </c>
      <c r="F82" s="62" t="inlineStr">
        <is>
          <t>MOB</t>
        </is>
      </c>
      <c r="G82" s="59" t="n"/>
      <c r="H82" s="63" t="n">
        <v>4</v>
      </c>
      <c r="I82" s="62" t="inlineStr">
        <is>
          <t>P0-Bắt buộc</t>
        </is>
      </c>
      <c r="J82" s="59" t="inlineStr">
        <is>
          <t>GPS nền</t>
        </is>
      </c>
      <c r="K82" s="62" t="inlineStr">
        <is>
          <t>Chưa bắt đầu</t>
        </is>
      </c>
      <c r="L82" s="64" t="n">
        <v>0</v>
      </c>
      <c r="M82" s="63">
        <f>H82*(1-L82)</f>
        <v/>
      </c>
      <c r="N82" s="62" t="n"/>
      <c r="O82" s="59" t="inlineStr">
        <is>
          <t>Logic backend đã xong và có test</t>
        </is>
      </c>
    </row>
    <row r="83" ht="15" customHeight="1" s="38">
      <c r="A83" s="62" t="inlineStr">
        <is>
          <t>P3-11</t>
        </is>
      </c>
      <c r="B83" s="59" t="inlineStr">
        <is>
          <t>P3 - Driver App</t>
        </is>
      </c>
      <c r="C83" s="59" t="inlineStr">
        <is>
          <t>Mobile</t>
        </is>
      </c>
      <c r="D83" s="59" t="inlineStr">
        <is>
          <t>Selfie ngẫu nhiên 30-90 phút/phiên</t>
        </is>
      </c>
      <c r="E83" s="59" t="inlineStr">
        <is>
          <t>Không selfie đúng hạn thì không nhận được cuốc mới</t>
        </is>
      </c>
      <c r="F83" s="62" t="inlineStr">
        <is>
          <t>MOB</t>
        </is>
      </c>
      <c r="G83" s="59" t="n"/>
      <c r="H83" s="63" t="n">
        <v>3</v>
      </c>
      <c r="I83" s="62" t="inlineStr">
        <is>
          <t>P0-Bắt buộc</t>
        </is>
      </c>
      <c r="J83" s="59" t="inlineStr">
        <is>
          <t>Màn hình ca làm</t>
        </is>
      </c>
      <c r="K83" s="62" t="inlineStr">
        <is>
          <t>Chưa bắt đầu</t>
        </is>
      </c>
      <c r="L83" s="64" t="n">
        <v>0</v>
      </c>
      <c r="M83" s="63">
        <f>H83*(1-L83)</f>
        <v/>
      </c>
      <c r="N83" s="62" t="n"/>
      <c r="O83" s="59" t="n"/>
    </row>
    <row r="84" ht="15" customHeight="1" s="38">
      <c r="A84" s="62" t="inlineStr">
        <is>
          <t>P3-12</t>
        </is>
      </c>
      <c r="B84" s="59" t="inlineStr">
        <is>
          <t>P3 - Driver App</t>
        </is>
      </c>
      <c r="C84" s="59" t="inlineStr">
        <is>
          <t>Mobile</t>
        </is>
      </c>
      <c r="D84" s="59" t="inlineStr">
        <is>
          <t>Ví, ký quỹ, lịch sử trích, yêu cầu rút tiền</t>
        </is>
      </c>
      <c r="E84" s="59" t="inlineStr">
        <is>
          <t>Số dư khớp với backend; rút tiền tạo lệnh chờ duyệt</t>
        </is>
      </c>
      <c r="F84" s="62" t="inlineStr">
        <is>
          <t>MOB</t>
        </is>
      </c>
      <c r="G84" s="59" t="n"/>
      <c r="H84" s="63" t="n">
        <v>5</v>
      </c>
      <c r="I84" s="62" t="inlineStr">
        <is>
          <t>P0-Bắt buộc</t>
        </is>
      </c>
      <c r="J84" s="59" t="inlineStr">
        <is>
          <t>Auth OTP</t>
        </is>
      </c>
      <c r="K84" s="62" t="inlineStr">
        <is>
          <t>Chưa bắt đầu</t>
        </is>
      </c>
      <c r="L84" s="64" t="n">
        <v>0</v>
      </c>
      <c r="M84" s="63">
        <f>H84*(1-L84)</f>
        <v/>
      </c>
      <c r="N84" s="62" t="n"/>
      <c r="O84" s="59" t="n"/>
    </row>
    <row r="85" ht="15" customHeight="1" s="38">
      <c r="A85" s="62" t="inlineStr">
        <is>
          <t>P3-13</t>
        </is>
      </c>
      <c r="B85" s="59" t="inlineStr">
        <is>
          <t>P3 - Driver App</t>
        </is>
      </c>
      <c r="C85" s="59" t="inlineStr">
        <is>
          <t>Mobile</t>
        </is>
      </c>
      <c r="D85" s="59" t="inlineStr">
        <is>
          <t>Chat với khách + với CSKH</t>
        </is>
      </c>
      <c r="E85" s="59" t="inlineStr">
        <is>
          <t>Nhắn được cả khi app ở nền (qua push)</t>
        </is>
      </c>
      <c r="F85" s="62" t="inlineStr">
        <is>
          <t>MOB</t>
        </is>
      </c>
      <c r="G85" s="59" t="n"/>
      <c r="H85" s="63" t="n">
        <v>4</v>
      </c>
      <c r="I85" s="62" t="inlineStr">
        <is>
          <t>P0-Bắt buộc</t>
        </is>
      </c>
      <c r="J85" s="59" t="inlineStr">
        <is>
          <t>realtime-client</t>
        </is>
      </c>
      <c r="K85" s="62" t="inlineStr">
        <is>
          <t>Chưa bắt đầu</t>
        </is>
      </c>
      <c r="L85" s="64" t="n">
        <v>0</v>
      </c>
      <c r="M85" s="63">
        <f>H85*(1-L85)</f>
        <v/>
      </c>
      <c r="N85" s="62" t="n"/>
      <c r="O85" s="59" t="n"/>
    </row>
    <row r="86" ht="22.35" customHeight="1" s="38">
      <c r="A86" s="62" t="inlineStr">
        <is>
          <t>P3-14</t>
        </is>
      </c>
      <c r="B86" s="59" t="inlineStr">
        <is>
          <t>P3 - Driver App</t>
        </is>
      </c>
      <c r="C86" s="59" t="inlineStr">
        <is>
          <t>Mobile</t>
        </is>
      </c>
      <c r="D86" s="59" t="inlineStr">
        <is>
          <t>Hỗ trợ: mở ticket, xem quyết định xử lý gian lận, khiếu nại phạt</t>
        </is>
      </c>
      <c r="E86" s="59" t="inlineStr">
        <is>
          <t>Tài xế khiếu nại được 1 khoản phạt</t>
        </is>
      </c>
      <c r="F86" s="62" t="inlineStr">
        <is>
          <t>MOB</t>
        </is>
      </c>
      <c r="G86" s="59" t="n"/>
      <c r="H86" s="63" t="n">
        <v>3</v>
      </c>
      <c r="I86" s="62" t="inlineStr">
        <is>
          <t>P1-Cao</t>
        </is>
      </c>
      <c r="J86" s="59" t="inlineStr">
        <is>
          <t>domains/support</t>
        </is>
      </c>
      <c r="K86" s="62" t="inlineStr">
        <is>
          <t>Chưa bắt đầu</t>
        </is>
      </c>
      <c r="L86" s="64" t="n">
        <v>0</v>
      </c>
      <c r="M86" s="63">
        <f>H86*(1-L86)</f>
        <v/>
      </c>
      <c r="N86" s="62" t="n"/>
      <c r="O86" s="59" t="n"/>
    </row>
    <row r="87" ht="15" customHeight="1" s="38">
      <c r="A87" s="62" t="inlineStr">
        <is>
          <t>P3-15</t>
        </is>
      </c>
      <c r="B87" s="59" t="inlineStr">
        <is>
          <t>P3 - Driver App</t>
        </is>
      </c>
      <c r="C87" s="59" t="inlineStr">
        <is>
          <t>Mobile</t>
        </is>
      </c>
      <c r="D87" s="59" t="inlineStr">
        <is>
          <t>Tối ưu pin: tần suất ping thích ứng 3s/10s/60s</t>
        </is>
      </c>
      <c r="E87" s="59" t="inlineStr">
        <is>
          <t>Chạy ca 8 giờ tiêu hao pin ở mức chấp nhận được</t>
        </is>
      </c>
      <c r="F87" s="62" t="inlineStr">
        <is>
          <t>MOB</t>
        </is>
      </c>
      <c r="G87" s="59" t="n"/>
      <c r="H87" s="63" t="n">
        <v>4</v>
      </c>
      <c r="I87" s="62" t="inlineStr">
        <is>
          <t>P0-Bắt buộc</t>
        </is>
      </c>
      <c r="J87" s="59" t="inlineStr">
        <is>
          <t>GPS nền</t>
        </is>
      </c>
      <c r="K87" s="62" t="inlineStr">
        <is>
          <t>Chưa bắt đầu</t>
        </is>
      </c>
      <c r="L87" s="64" t="n">
        <v>0</v>
      </c>
      <c r="M87" s="63">
        <f>H87*(1-L87)</f>
        <v/>
      </c>
      <c r="N87" s="62" t="n"/>
      <c r="O87" s="59" t="n"/>
    </row>
    <row r="88" ht="15" customHeight="1" s="38">
      <c r="A88" s="62" t="inlineStr">
        <is>
          <t>P3-16</t>
        </is>
      </c>
      <c r="B88" s="59" t="inlineStr">
        <is>
          <t>P3 - Driver App</t>
        </is>
      </c>
      <c r="C88" s="59" t="inlineStr">
        <is>
          <t>Backend</t>
        </is>
      </c>
      <c r="D88" s="59" t="inlineStr">
        <is>
          <t>Hoàn thiện API /driver/* theo bề mặt mới</t>
        </is>
      </c>
      <c r="E88" s="59" t="inlineStr">
        <is>
          <t>App tài xế chỉ gọi /driver/*</t>
        </is>
      </c>
      <c r="F88" s="62" t="inlineStr">
        <is>
          <t>BE</t>
        </is>
      </c>
      <c r="G88" s="59" t="n"/>
      <c r="H88" s="63" t="n">
        <v>4</v>
      </c>
      <c r="I88" s="62" t="inlineStr">
        <is>
          <t>P0-Bắt buộc</t>
        </is>
      </c>
      <c r="J88" s="59" t="inlineStr">
        <is>
          <t>Tách router</t>
        </is>
      </c>
      <c r="K88" s="62" t="inlineStr">
        <is>
          <t>Chưa bắt đầu</t>
        </is>
      </c>
      <c r="L88" s="64" t="n">
        <v>0</v>
      </c>
      <c r="M88" s="63">
        <f>H88*(1-L88)</f>
        <v/>
      </c>
      <c r="N88" s="62" t="n"/>
      <c r="O88" s="59" t="n"/>
    </row>
    <row r="89" ht="15" customHeight="1" s="38">
      <c r="A89" s="62" t="inlineStr">
        <is>
          <t>P3-17</t>
        </is>
      </c>
      <c r="B89" s="59" t="inlineStr">
        <is>
          <t>P3 - Driver App</t>
        </is>
      </c>
      <c r="C89" s="59" t="inlineStr">
        <is>
          <t>Mobile</t>
        </is>
      </c>
      <c r="D89" s="59" t="inlineStr">
        <is>
          <t>Build &amp; phát hành nội bộ (TestFlight + Play Internal)</t>
        </is>
      </c>
      <c r="E89" s="59" t="inlineStr">
        <is>
          <t>50 tài xế tiên phong cài được</t>
        </is>
      </c>
      <c r="F89" s="62" t="inlineStr">
        <is>
          <t>MOB</t>
        </is>
      </c>
      <c r="G89" s="59" t="n"/>
      <c r="H89" s="63" t="n">
        <v>3</v>
      </c>
      <c r="I89" s="62" t="inlineStr">
        <is>
          <t>P0-Bắt buộc</t>
        </is>
      </c>
      <c r="J89" s="59" t="inlineStr">
        <is>
          <t>Các màn hình chính</t>
        </is>
      </c>
      <c r="K89" s="62" t="inlineStr">
        <is>
          <t>Chưa bắt đầu</t>
        </is>
      </c>
      <c r="L89" s="64" t="n">
        <v>0</v>
      </c>
      <c r="M89" s="63">
        <f>H89*(1-L89)</f>
        <v/>
      </c>
      <c r="N89" s="62" t="n"/>
      <c r="O89" s="59" t="n"/>
    </row>
    <row r="90" ht="22.35" customHeight="1" s="38">
      <c r="A90" s="62" t="inlineStr">
        <is>
          <t>P3-18</t>
        </is>
      </c>
      <c r="B90" s="59" t="inlineStr">
        <is>
          <t>P3 - Driver App</t>
        </is>
      </c>
      <c r="C90" s="59" t="inlineStr">
        <is>
          <t>QA</t>
        </is>
      </c>
      <c r="D90" s="59" t="inlineStr">
        <is>
          <t>Kiểm thử máy thật: mất mạng, khoá màn hình, pin yếu, đổi SIM</t>
        </is>
      </c>
      <c r="E90" s="59" t="inlineStr">
        <is>
          <t>Chạy 20 chuyến thử không lỗi nghiêm trọng</t>
        </is>
      </c>
      <c r="F90" s="62" t="inlineStr">
        <is>
          <t>FE</t>
        </is>
      </c>
      <c r="G90" s="59" t="n"/>
      <c r="H90" s="63" t="n">
        <v>5</v>
      </c>
      <c r="I90" s="62" t="inlineStr">
        <is>
          <t>P0-Bắt buộc</t>
        </is>
      </c>
      <c r="J90" s="59" t="inlineStr">
        <is>
          <t>Build nội bộ</t>
        </is>
      </c>
      <c r="K90" s="62" t="inlineStr">
        <is>
          <t>Chưa bắt đầu</t>
        </is>
      </c>
      <c r="L90" s="64" t="n">
        <v>0</v>
      </c>
      <c r="M90" s="63">
        <f>H90*(1-L90)</f>
        <v/>
      </c>
      <c r="N90" s="62" t="n"/>
      <c r="O90" s="59" t="n"/>
    </row>
    <row r="91" ht="22.35" customHeight="1" s="38">
      <c r="A91" s="62" t="inlineStr">
        <is>
          <t>P4-01</t>
        </is>
      </c>
      <c r="B91" s="59" t="inlineStr">
        <is>
          <t>P4 - Rider App</t>
        </is>
      </c>
      <c r="C91" s="59" t="inlineStr">
        <is>
          <t>Mobile</t>
        </is>
      </c>
      <c r="D91" s="59" t="inlineStr">
        <is>
          <t>Expo scaffold app khách (dùng lại packages/ui + realtime-client)</t>
        </is>
      </c>
      <c r="E91" s="59" t="inlineStr">
        <is>
          <t>Chạy trên máy thật, tái dùng ≥50% hạ tầng app tài xế</t>
        </is>
      </c>
      <c r="F91" s="62" t="inlineStr">
        <is>
          <t>MOB</t>
        </is>
      </c>
      <c r="G91" s="59" t="n"/>
      <c r="H91" s="63" t="n">
        <v>3</v>
      </c>
      <c r="I91" s="62" t="inlineStr">
        <is>
          <t>P0-Bắt buộc</t>
        </is>
      </c>
      <c r="J91" s="59" t="inlineStr">
        <is>
          <t>P3 xong</t>
        </is>
      </c>
      <c r="K91" s="62" t="inlineStr">
        <is>
          <t>Chưa bắt đầu</t>
        </is>
      </c>
      <c r="L91" s="64" t="n">
        <v>0</v>
      </c>
      <c r="M91" s="63">
        <f>H91*(1-L91)</f>
        <v/>
      </c>
      <c r="N91" s="62" t="n"/>
      <c r="O91" s="59" t="n"/>
    </row>
    <row r="92" ht="15" customHeight="1" s="38">
      <c r="A92" s="62" t="inlineStr">
        <is>
          <t>P4-02</t>
        </is>
      </c>
      <c r="B92" s="59" t="inlineStr">
        <is>
          <t>P4 - Rider App</t>
        </is>
      </c>
      <c r="C92" s="59" t="inlineStr">
        <is>
          <t>Mobile</t>
        </is>
      </c>
      <c r="D92" s="59" t="inlineStr">
        <is>
          <t>Auth OTP + hồ sơ + người liên hệ khẩn cấp</t>
        </is>
      </c>
      <c r="E92" s="59" t="inlineStr">
        <is>
          <t>Đăng nhập và sửa hồ sơ</t>
        </is>
      </c>
      <c r="F92" s="62" t="inlineStr">
        <is>
          <t>MOB</t>
        </is>
      </c>
      <c r="G92" s="59" t="n"/>
      <c r="H92" s="63" t="n">
        <v>2</v>
      </c>
      <c r="I92" s="62" t="inlineStr">
        <is>
          <t>P0-Bắt buộc</t>
        </is>
      </c>
      <c r="J92" s="59" t="inlineStr">
        <is>
          <t>Rider scaffold</t>
        </is>
      </c>
      <c r="K92" s="62" t="inlineStr">
        <is>
          <t>Chưa bắt đầu</t>
        </is>
      </c>
      <c r="L92" s="64" t="n">
        <v>0</v>
      </c>
      <c r="M92" s="63">
        <f>H92*(1-L92)</f>
        <v/>
      </c>
      <c r="N92" s="62" t="n"/>
      <c r="O92" s="59" t="n"/>
    </row>
    <row r="93" ht="22.35" customHeight="1" s="38">
      <c r="A93" s="62" t="inlineStr">
        <is>
          <t>P4-03</t>
        </is>
      </c>
      <c r="B93" s="59" t="inlineStr">
        <is>
          <t>P4 - Rider App</t>
        </is>
      </c>
      <c r="C93" s="59" t="inlineStr">
        <is>
          <t>Mobile</t>
        </is>
      </c>
      <c r="D93" s="59" t="inlineStr">
        <is>
          <t>Đặt xe: chọn điểm đón/đến, gợi ý địa chỉ, xem giá ước tính tách khoản</t>
        </is>
      </c>
      <c r="E93" s="59" t="inlineStr">
        <is>
          <t>Thấy rõ phí nền / km / phút / phụ thu đón xa</t>
        </is>
      </c>
      <c r="F93" s="62" t="inlineStr">
        <is>
          <t>MOB</t>
        </is>
      </c>
      <c r="G93" s="59" t="n"/>
      <c r="H93" s="63" t="n">
        <v>6</v>
      </c>
      <c r="I93" s="62" t="inlineStr">
        <is>
          <t>P0-Bắt buộc</t>
        </is>
      </c>
      <c r="J93" s="59" t="inlineStr">
        <is>
          <t>Rider scaffold</t>
        </is>
      </c>
      <c r="K93" s="62" t="inlineStr">
        <is>
          <t>Chưa bắt đầu</t>
        </is>
      </c>
      <c r="L93" s="64" t="n">
        <v>0</v>
      </c>
      <c r="M93" s="63">
        <f>H93*(1-L93)</f>
        <v/>
      </c>
      <c r="N93" s="62" t="n"/>
      <c r="O93" s="59" t="inlineStr">
        <is>
          <t>API /pricing/estimate đã có và có test đầy đủ</t>
        </is>
      </c>
    </row>
    <row r="94" ht="15" customHeight="1" s="38">
      <c r="A94" s="62" t="inlineStr">
        <is>
          <t>P4-04</t>
        </is>
      </c>
      <c r="B94" s="59" t="inlineStr">
        <is>
          <t>P4 - Rider App</t>
        </is>
      </c>
      <c r="C94" s="59" t="inlineStr">
        <is>
          <t>Mobile</t>
        </is>
      </c>
      <c r="D94" s="59" t="inlineStr">
        <is>
          <t>Theo dõi tài xế real-time + ETA trên bản đồ</t>
        </is>
      </c>
      <c r="E94" s="59" t="inlineStr">
        <is>
          <t>Vị trí cập nhật mượt, mất WS vẫn tự phục hồi</t>
        </is>
      </c>
      <c r="F94" s="62" t="inlineStr">
        <is>
          <t>MOB</t>
        </is>
      </c>
      <c r="G94" s="59" t="n"/>
      <c r="H94" s="63" t="n">
        <v>5</v>
      </c>
      <c r="I94" s="62" t="inlineStr">
        <is>
          <t>P0-Bắt buộc</t>
        </is>
      </c>
      <c r="J94" s="59" t="inlineStr">
        <is>
          <t>realtime-client</t>
        </is>
      </c>
      <c r="K94" s="62" t="inlineStr">
        <is>
          <t>Chưa bắt đầu</t>
        </is>
      </c>
      <c r="L94" s="64" t="n">
        <v>0</v>
      </c>
      <c r="M94" s="63">
        <f>H94*(1-L94)</f>
        <v/>
      </c>
      <c r="N94" s="62" t="n"/>
      <c r="O94" s="59" t="n"/>
    </row>
    <row r="95" ht="15" customHeight="1" s="38">
      <c r="A95" s="62" t="inlineStr">
        <is>
          <t>P4-05</t>
        </is>
      </c>
      <c r="B95" s="59" t="inlineStr">
        <is>
          <t>P4 - Rider App</t>
        </is>
      </c>
      <c r="C95" s="59" t="inlineStr">
        <is>
          <t>Mobile</t>
        </is>
      </c>
      <c r="D95" s="59" t="inlineStr">
        <is>
          <t>Quét QR tài xế để bắt đầu chuyến</t>
        </is>
      </c>
      <c r="E95" s="59" t="inlineStr">
        <is>
          <t>Quét sai QR bị từ chối, không đổi trạng thái chuyến</t>
        </is>
      </c>
      <c r="F95" s="62" t="inlineStr">
        <is>
          <t>MOB</t>
        </is>
      </c>
      <c r="G95" s="59" t="n"/>
      <c r="H95" s="63" t="n">
        <v>2</v>
      </c>
      <c r="I95" s="62" t="inlineStr">
        <is>
          <t>P0-Bắt buộc</t>
        </is>
      </c>
      <c r="J95" s="59" t="inlineStr">
        <is>
          <t>Rider scaffold</t>
        </is>
      </c>
      <c r="K95" s="62" t="inlineStr">
        <is>
          <t>Chưa bắt đầu</t>
        </is>
      </c>
      <c r="L95" s="64" t="n">
        <v>0</v>
      </c>
      <c r="M95" s="63">
        <f>H95*(1-L95)</f>
        <v/>
      </c>
      <c r="N95" s="62" t="n"/>
      <c r="O95" s="59" t="inlineStr">
        <is>
          <t>Logic backend đã xong: in_progress chỉ đến được từ qr_verified</t>
        </is>
      </c>
    </row>
    <row r="96" ht="22.35" customHeight="1" s="38">
      <c r="A96" s="62" t="inlineStr">
        <is>
          <t>P4-06</t>
        </is>
      </c>
      <c r="B96" s="59" t="inlineStr">
        <is>
          <t>P4 - Rider App</t>
        </is>
      </c>
      <c r="C96" s="59" t="inlineStr">
        <is>
          <t>Mobile</t>
        </is>
      </c>
      <c r="D96" s="59" t="inlineStr">
        <is>
          <t>Thanh toán: liên kết thẻ/ví, chọn phương thức, xem giao dịch</t>
        </is>
      </c>
      <c r="E96" s="59" t="inlineStr">
        <is>
          <t>Thanh toán 1 chuyến thật qua cổng</t>
        </is>
      </c>
      <c r="F96" s="62" t="inlineStr">
        <is>
          <t>MOB</t>
        </is>
      </c>
      <c r="G96" s="59" t="n"/>
      <c r="H96" s="63" t="n">
        <v>5</v>
      </c>
      <c r="I96" s="62" t="inlineStr">
        <is>
          <t>P0-Bắt buộc</t>
        </is>
      </c>
      <c r="J96" s="59" t="inlineStr">
        <is>
          <t>Tích hợp VNPay</t>
        </is>
      </c>
      <c r="K96" s="62" t="inlineStr">
        <is>
          <t>Chưa bắt đầu</t>
        </is>
      </c>
      <c r="L96" s="64" t="n">
        <v>0</v>
      </c>
      <c r="M96" s="63">
        <f>H96*(1-L96)</f>
        <v/>
      </c>
      <c r="N96" s="62" t="n"/>
      <c r="O96" s="59" t="n"/>
    </row>
    <row r="97" ht="15" customHeight="1" s="38">
      <c r="A97" s="62" t="inlineStr">
        <is>
          <t>P4-07</t>
        </is>
      </c>
      <c r="B97" s="59" t="inlineStr">
        <is>
          <t>P4 - Rider App</t>
        </is>
      </c>
      <c r="C97" s="59" t="inlineStr">
        <is>
          <t>Mobile</t>
        </is>
      </c>
      <c r="D97" s="59" t="inlineStr">
        <is>
          <t>Chia sẻ hành trình (link công khai có hạn) + nút SOS</t>
        </is>
      </c>
      <c r="E97" s="59" t="inlineStr">
        <is>
          <t>Người thân mở link thấy vị trí, không thấy SĐT</t>
        </is>
      </c>
      <c r="F97" s="62" t="inlineStr">
        <is>
          <t>MOB</t>
        </is>
      </c>
      <c r="G97" s="59" t="n"/>
      <c r="H97" s="63" t="n">
        <v>4</v>
      </c>
      <c r="I97" s="62" t="inlineStr">
        <is>
          <t>P0-Bắt buộc</t>
        </is>
      </c>
      <c r="J97" s="59" t="inlineStr">
        <is>
          <t>API /public/*</t>
        </is>
      </c>
      <c r="K97" s="62" t="inlineStr">
        <is>
          <t>Chưa bắt đầu</t>
        </is>
      </c>
      <c r="L97" s="64" t="n">
        <v>0</v>
      </c>
      <c r="M97" s="63">
        <f>H97*(1-L97)</f>
        <v/>
      </c>
      <c r="N97" s="62" t="n"/>
      <c r="O97" s="59" t="n"/>
    </row>
    <row r="98" ht="15" customHeight="1" s="38">
      <c r="A98" s="62" t="inlineStr">
        <is>
          <t>P4-08</t>
        </is>
      </c>
      <c r="B98" s="59" t="inlineStr">
        <is>
          <t>P4 - Rider App</t>
        </is>
      </c>
      <c r="C98" s="59" t="inlineStr">
        <is>
          <t>Mobile</t>
        </is>
      </c>
      <c r="D98" s="59" t="inlineStr">
        <is>
          <t>Chat với tài xế + với CSKH</t>
        </is>
      </c>
      <c r="E98" s="59" t="inlineStr">
        <is>
          <t>Nhắn trong chuyến và mở hỗ trợ bất kỳ lúc nào</t>
        </is>
      </c>
      <c r="F98" s="62" t="inlineStr">
        <is>
          <t>MOB</t>
        </is>
      </c>
      <c r="G98" s="59" t="n"/>
      <c r="H98" s="63" t="n">
        <v>3</v>
      </c>
      <c r="I98" s="62" t="inlineStr">
        <is>
          <t>P0-Bắt buộc</t>
        </is>
      </c>
      <c r="J98" s="59" t="inlineStr">
        <is>
          <t>realtime-client</t>
        </is>
      </c>
      <c r="K98" s="62" t="inlineStr">
        <is>
          <t>Chưa bắt đầu</t>
        </is>
      </c>
      <c r="L98" s="64" t="n">
        <v>0</v>
      </c>
      <c r="M98" s="63">
        <f>H98*(1-L98)</f>
        <v/>
      </c>
      <c r="N98" s="62" t="n"/>
      <c r="O98" s="59" t="n"/>
    </row>
    <row r="99" ht="15" customHeight="1" s="38">
      <c r="A99" s="62" t="inlineStr">
        <is>
          <t>P4-09</t>
        </is>
      </c>
      <c r="B99" s="59" t="inlineStr">
        <is>
          <t>P4 - Rider App</t>
        </is>
      </c>
      <c r="C99" s="59" t="inlineStr">
        <is>
          <t>Mobile</t>
        </is>
      </c>
      <c r="D99" s="59" t="inlineStr">
        <is>
          <t>Lịch sử chuyến, hoá đơn, đánh giá tài xế</t>
        </is>
      </c>
      <c r="E99" s="59" t="inlineStr">
        <is>
          <t>Xem lại chuyến cũ và tải hoá đơn</t>
        </is>
      </c>
      <c r="F99" s="62" t="inlineStr">
        <is>
          <t>MOB</t>
        </is>
      </c>
      <c r="G99" s="59" t="n"/>
      <c r="H99" s="63" t="n">
        <v>4</v>
      </c>
      <c r="I99" s="62" t="inlineStr">
        <is>
          <t>P1-Cao</t>
        </is>
      </c>
      <c r="J99" s="59" t="inlineStr">
        <is>
          <t>API /rider/*</t>
        </is>
      </c>
      <c r="K99" s="62" t="inlineStr">
        <is>
          <t>Chưa bắt đầu</t>
        </is>
      </c>
      <c r="L99" s="64" t="n">
        <v>0</v>
      </c>
      <c r="M99" s="63">
        <f>H99*(1-L99)</f>
        <v/>
      </c>
      <c r="N99" s="62" t="n"/>
      <c r="O99" s="59" t="n"/>
    </row>
    <row r="100" ht="15" customHeight="1" s="38">
      <c r="A100" s="62" t="inlineStr">
        <is>
          <t>P4-10</t>
        </is>
      </c>
      <c r="B100" s="59" t="inlineStr">
        <is>
          <t>P4 - Rider App</t>
        </is>
      </c>
      <c r="C100" s="59" t="inlineStr">
        <is>
          <t>Mobile</t>
        </is>
      </c>
      <c r="D100" s="59" t="inlineStr">
        <is>
          <t>Khuyến mãi + deep link QR bàn nhà hàng đối tác</t>
        </is>
      </c>
      <c r="E100" s="59" t="inlineStr">
        <is>
          <t>Quét QR bàn mở app với điểm đón là nhà hàng</t>
        </is>
      </c>
      <c r="F100" s="62" t="inlineStr">
        <is>
          <t>MOB</t>
        </is>
      </c>
      <c r="G100" s="59" t="n"/>
      <c r="H100" s="63" t="n">
        <v>3</v>
      </c>
      <c r="I100" s="62" t="inlineStr">
        <is>
          <t>P1-Cao</t>
        </is>
      </c>
      <c r="J100" s="59" t="inlineStr">
        <is>
          <t>API /partner/*</t>
        </is>
      </c>
      <c r="K100" s="62" t="inlineStr">
        <is>
          <t>Chưa bắt đầu</t>
        </is>
      </c>
      <c r="L100" s="64" t="n">
        <v>0</v>
      </c>
      <c r="M100" s="63">
        <f>H100*(1-L100)</f>
        <v/>
      </c>
      <c r="N100" s="62" t="n"/>
      <c r="O100" s="59" t="inlineStr">
        <is>
          <t>Backend đã có GET /partners/qr/{token} và logic gán partner_id</t>
        </is>
      </c>
    </row>
    <row r="101" ht="22.35" customHeight="1" s="38">
      <c r="A101" s="62" t="inlineStr">
        <is>
          <t>P4-11</t>
        </is>
      </c>
      <c r="B101" s="59" t="inlineStr">
        <is>
          <t>P4 - Rider App</t>
        </is>
      </c>
      <c r="C101" s="59" t="inlineStr">
        <is>
          <t>Backend</t>
        </is>
      </c>
      <c r="D101" s="59" t="inlineStr">
        <is>
          <t>Hoàn thiện API /rider/* + bổ sung GET /rider/trips (danh sách)</t>
        </is>
      </c>
      <c r="E101" s="59" t="inlineStr">
        <is>
          <t>App khách chỉ gọi /rider/*</t>
        </is>
      </c>
      <c r="F101" s="62" t="inlineStr">
        <is>
          <t>BE</t>
        </is>
      </c>
      <c r="G101" s="59" t="n"/>
      <c r="H101" s="63" t="n">
        <v>3</v>
      </c>
      <c r="I101" s="62" t="inlineStr">
        <is>
          <t>P0-Bắt buộc</t>
        </is>
      </c>
      <c r="J101" s="59" t="inlineStr">
        <is>
          <t>Tách router</t>
        </is>
      </c>
      <c r="K101" s="62" t="inlineStr">
        <is>
          <t>Đang làm</t>
        </is>
      </c>
      <c r="L101" s="64" t="n">
        <v>0.5</v>
      </c>
      <c r="M101" s="63">
        <f>H101*(1-L101)</f>
        <v/>
      </c>
      <c r="N101" s="62" t="n"/>
      <c r="O101" s="59" t="inlineStr">
        <is>
          <t>03/09: đã có GET /trips (danh sách), /trips/{id}/rate, /arrived, /events. Còn: tách router theo audience /rider/* — phụ thuộc P1-08.</t>
        </is>
      </c>
    </row>
    <row r="102" ht="22.35" customHeight="1" s="38">
      <c r="A102" s="62" t="inlineStr">
        <is>
          <t>P4-12</t>
        </is>
      </c>
      <c r="B102" s="59" t="inlineStr">
        <is>
          <t>P4 - Rider App</t>
        </is>
      </c>
      <c r="C102" s="59" t="inlineStr">
        <is>
          <t>Frontend</t>
        </is>
      </c>
      <c r="D102" s="59" t="inlineStr">
        <is>
          <t>Xử lý goan-customer-app: chuyển thành web đặt xe hoặc gỡ bỏ</t>
        </is>
      </c>
      <c r="E102" s="59" t="inlineStr">
        <is>
          <t>Không còn code trỏ sai endpoint tồn tại trong repo</t>
        </is>
      </c>
      <c r="F102" s="62" t="inlineStr">
        <is>
          <t>FE</t>
        </is>
      </c>
      <c r="G102" s="59" t="n"/>
      <c r="H102" s="63" t="n">
        <v>3</v>
      </c>
      <c r="I102" s="62" t="inlineStr">
        <is>
          <t>P1-Cao</t>
        </is>
      </c>
      <c r="J102" s="59" t="inlineStr">
        <is>
          <t>packages/api-client</t>
        </is>
      </c>
      <c r="K102" s="62" t="inlineStr">
        <is>
          <t>Đã xong</t>
        </is>
      </c>
      <c r="L102" s="64" t="n">
        <v>1</v>
      </c>
      <c r="M102" s="63">
        <f>H102*(1-L102)</f>
        <v/>
      </c>
      <c r="N102" s="62" t="n"/>
      <c r="O102" s="59" t="inlineStr">
        <is>
          <t>03/09 XONG (49f623b): viết lại tầng API app khách. 9/9 đường dẫn khớp openapi.json, rà soát API 62/62 lời gọi đạt. Tự làm mới token khi 401, một lần refresh tại một thời điểm.</t>
        </is>
      </c>
    </row>
    <row r="103" ht="22.35" customHeight="1" s="38">
      <c r="A103" s="62" t="inlineStr">
        <is>
          <t>P4-13</t>
        </is>
      </c>
      <c r="B103" s="59" t="inlineStr">
        <is>
          <t>P4 - Rider App</t>
        </is>
      </c>
      <c r="C103" s="59" t="inlineStr">
        <is>
          <t>QA</t>
        </is>
      </c>
      <c r="D103" s="59" t="inlineStr">
        <is>
          <t>Kiểm thử end-to-end: đặt - ghép - QR - chạy - trả tiền - đánh giá</t>
        </is>
      </c>
      <c r="E103" s="59" t="inlineStr">
        <is>
          <t>10 chuyến thật trôi chảy trên staging</t>
        </is>
      </c>
      <c r="F103" s="62" t="inlineStr">
        <is>
          <t>FE</t>
        </is>
      </c>
      <c r="G103" s="59" t="n"/>
      <c r="H103" s="63" t="n">
        <v>4</v>
      </c>
      <c r="I103" s="62" t="inlineStr">
        <is>
          <t>P0-Bắt buộc</t>
        </is>
      </c>
      <c r="J103" s="59" t="inlineStr">
        <is>
          <t>Rider app các màn hình</t>
        </is>
      </c>
      <c r="K103" s="62" t="inlineStr">
        <is>
          <t>Đang làm</t>
        </is>
      </c>
      <c r="L103" s="64" t="n">
        <v>0.4</v>
      </c>
      <c r="M103" s="63">
        <f>H103*(1-L103)</f>
        <v/>
      </c>
      <c r="N103" s="62" t="n"/>
      <c r="O103" s="59" t="inlineStr">
        <is>
          <t>03/09: make smoke — 22 bước đầu-cuối trên server thật, 22/22 đạt (c420f6d). Còn: 10 chuyến thật trên staging (chờ P0-10).</t>
        </is>
      </c>
    </row>
    <row r="104" ht="22.35" customHeight="1" s="38">
      <c r="A104" s="62" t="inlineStr">
        <is>
          <t>P5-01</t>
        </is>
      </c>
      <c r="B104" s="59" t="inlineStr">
        <is>
          <t>P5 - Ledger &amp; Finance</t>
        </is>
      </c>
      <c r="C104" s="59" t="inlineStr">
        <is>
          <t>Backend</t>
        </is>
      </c>
      <c r="D104" s="59" t="inlineStr">
        <is>
          <t>Thiết kế sổ kép: accounts, journal_entries, journal_lines</t>
        </is>
      </c>
      <c r="E104" s="59" t="inlineStr">
        <is>
          <t>Mọi bút toán cân bằng, tổng debit = tổng credit</t>
        </is>
      </c>
      <c r="F104" s="62" t="inlineStr">
        <is>
          <t>TL</t>
        </is>
      </c>
      <c r="G104" s="59" t="n"/>
      <c r="H104" s="63" t="n">
        <v>4</v>
      </c>
      <c r="I104" s="62" t="inlineStr">
        <is>
          <t>P0-Bắt buộc</t>
        </is>
      </c>
      <c r="J104" s="59" t="inlineStr">
        <is>
          <t>P2 xong</t>
        </is>
      </c>
      <c r="K104" s="62" t="inlineStr">
        <is>
          <t>Chưa bắt đầu</t>
        </is>
      </c>
      <c r="L104" s="64" t="n">
        <v>0</v>
      </c>
      <c r="M104" s="63">
        <f>H104*(1-L104)</f>
        <v/>
      </c>
      <c r="N104" s="62" t="n"/>
      <c r="O104" s="59" t="inlineStr">
        <is>
          <t>Tài liệu thanh toán yêu cầu double-entry; code hiện cập nhật số dư trực tiếp</t>
        </is>
      </c>
    </row>
    <row r="105" ht="15" customHeight="1" s="38">
      <c r="A105" s="62" t="inlineStr">
        <is>
          <t>P5-02</t>
        </is>
      </c>
      <c r="B105" s="59" t="inlineStr">
        <is>
          <t>P5 - Ledger &amp; Finance</t>
        </is>
      </c>
      <c r="C105" s="59" t="inlineStr">
        <is>
          <t>Backend</t>
        </is>
      </c>
      <c r="D105" s="59" t="inlineStr">
        <is>
          <t>Migration + chuyển dữ liệu ví/ký quỹ cũ sang sổ kép</t>
        </is>
      </c>
      <c r="E105" s="59" t="inlineStr">
        <is>
          <t>Số dư sau chuyển khớp 100% số dư cũ</t>
        </is>
      </c>
      <c r="F105" s="62" t="inlineStr">
        <is>
          <t>BE</t>
        </is>
      </c>
      <c r="G105" s="59" t="n"/>
      <c r="H105" s="63" t="n">
        <v>5</v>
      </c>
      <c r="I105" s="62" t="inlineStr">
        <is>
          <t>P0-Bắt buộc</t>
        </is>
      </c>
      <c r="J105" s="59" t="inlineStr">
        <is>
          <t>Thiết kế sổ kép</t>
        </is>
      </c>
      <c r="K105" s="62" t="inlineStr">
        <is>
          <t>Chưa bắt đầu</t>
        </is>
      </c>
      <c r="L105" s="64" t="n">
        <v>0</v>
      </c>
      <c r="M105" s="63">
        <f>H105*(1-L105)</f>
        <v/>
      </c>
      <c r="N105" s="62" t="n"/>
      <c r="O105" s="59" t="n"/>
    </row>
    <row r="106" ht="22.35" customHeight="1" s="38">
      <c r="A106" s="62" t="inlineStr">
        <is>
          <t>P5-03</t>
        </is>
      </c>
      <c r="B106" s="59" t="inlineStr">
        <is>
          <t>P5 - Ledger &amp; Finance</t>
        </is>
      </c>
      <c r="C106" s="59" t="inlineStr">
        <is>
          <t>Backend</t>
        </is>
      </c>
      <c r="D106" s="59" t="inlineStr">
        <is>
          <t>Chuyển settlement chuyến sang ghi bút toán kép trong 1 transaction</t>
        </is>
      </c>
      <c r="E106" s="59" t="inlineStr">
        <is>
          <t>Đối soát ngày báo balanced = true</t>
        </is>
      </c>
      <c r="F106" s="62" t="inlineStr">
        <is>
          <t>BE</t>
        </is>
      </c>
      <c r="G106" s="59" t="n"/>
      <c r="H106" s="63" t="n">
        <v>6</v>
      </c>
      <c r="I106" s="62" t="inlineStr">
        <is>
          <t>P0-Bắt buộc</t>
        </is>
      </c>
      <c r="J106" s="59" t="inlineStr">
        <is>
          <t>Migration sổ kép</t>
        </is>
      </c>
      <c r="K106" s="62" t="inlineStr">
        <is>
          <t>Chưa bắt đầu</t>
        </is>
      </c>
      <c r="L106" s="64" t="n">
        <v>0</v>
      </c>
      <c r="M106" s="63">
        <f>H106*(1-L106)</f>
        <v/>
      </c>
      <c r="N106" s="62" t="n"/>
      <c r="O106" s="59" t="n"/>
    </row>
    <row r="107" ht="22.35" customHeight="1" s="38">
      <c r="A107" s="62" t="inlineStr">
        <is>
          <t>P5-04</t>
        </is>
      </c>
      <c r="B107" s="59" t="inlineStr">
        <is>
          <t>P5 - Ledger &amp; Finance</t>
        </is>
      </c>
      <c r="C107" s="59" t="inlineStr">
        <is>
          <t>Backend</t>
        </is>
      </c>
      <c r="D107" s="59" t="inlineStr">
        <is>
          <t>Bảng payouts + quy trình chi trả theo kỳ (tuần)</t>
        </is>
      </c>
      <c r="E107" s="59" t="inlineStr">
        <is>
          <t>Tạo batch chi trả, đối chiếu với ngân hàng</t>
        </is>
      </c>
      <c r="F107" s="62" t="inlineStr">
        <is>
          <t>BE</t>
        </is>
      </c>
      <c r="G107" s="59" t="n"/>
      <c r="H107" s="63" t="n">
        <v>5</v>
      </c>
      <c r="I107" s="62" t="inlineStr">
        <is>
          <t>P0-Bắt buộc</t>
        </is>
      </c>
      <c r="J107" s="59" t="inlineStr">
        <is>
          <t>Sổ kép</t>
        </is>
      </c>
      <c r="K107" s="62" t="inlineStr">
        <is>
          <t>Chưa bắt đầu</t>
        </is>
      </c>
      <c r="L107" s="64" t="n">
        <v>0</v>
      </c>
      <c r="M107" s="63">
        <f>H107*(1-L107)</f>
        <v/>
      </c>
      <c r="N107" s="62" t="n"/>
      <c r="O107" s="59" t="inlineStr">
        <is>
          <t>Hiện chỉ có rút tiền thủ công qua /wallet/withdraw, chưa có payout theo kỳ</t>
        </is>
      </c>
    </row>
    <row r="108" ht="15" customHeight="1" s="38">
      <c r="A108" s="62" t="inlineStr">
        <is>
          <t>P5-05</t>
        </is>
      </c>
      <c r="B108" s="59" t="inlineStr">
        <is>
          <t>P5 - Ledger &amp; Finance</t>
        </is>
      </c>
      <c r="C108" s="59" t="inlineStr">
        <is>
          <t>Backend</t>
        </is>
      </c>
      <c r="D108" s="59" t="inlineStr">
        <is>
          <t>Bảng invoices + tích hợp hoá đơn điện tử (MISA/VNPT)</t>
        </is>
      </c>
      <c r="E108" s="59" t="inlineStr">
        <is>
          <t>Xuất được hoá đơn VAT thật cho khách B2B</t>
        </is>
      </c>
      <c r="F108" s="62" t="inlineStr">
        <is>
          <t>BE</t>
        </is>
      </c>
      <c r="G108" s="59" t="n"/>
      <c r="H108" s="63" t="n">
        <v>5</v>
      </c>
      <c r="I108" s="62" t="inlineStr">
        <is>
          <t>P0-Bắt buộc</t>
        </is>
      </c>
      <c r="J108" s="59" t="inlineStr">
        <is>
          <t>Sổ kép</t>
        </is>
      </c>
      <c r="K108" s="62" t="inlineStr">
        <is>
          <t>Chưa bắt đầu</t>
        </is>
      </c>
      <c r="L108" s="64" t="n">
        <v>0</v>
      </c>
      <c r="M108" s="63">
        <f>H108*(1-L108)</f>
        <v/>
      </c>
      <c r="N108" s="62" t="n"/>
      <c r="O108" s="59" t="inlineStr">
        <is>
          <t>partners/invoice.py hiện mock số hoá đơn</t>
        </is>
      </c>
    </row>
    <row r="109" ht="15" customHeight="1" s="38">
      <c r="A109" s="62" t="inlineStr">
        <is>
          <t>P5-06</t>
        </is>
      </c>
      <c r="B109" s="59" t="inlineStr">
        <is>
          <t>P5 - Ledger &amp; Finance</t>
        </is>
      </c>
      <c r="C109" s="59" t="inlineStr">
        <is>
          <t>Backend</t>
        </is>
      </c>
      <c r="D109" s="59" t="inlineStr">
        <is>
          <t>Phí huỷ chuyến: ghi bút toán trả cho tài xế</t>
        </is>
      </c>
      <c r="E109" s="59" t="inlineStr">
        <is>
          <t>Tài xế nhận đủ phí huỷ vào ví</t>
        </is>
      </c>
      <c r="F109" s="62" t="inlineStr">
        <is>
          <t>BE</t>
        </is>
      </c>
      <c r="G109" s="59" t="n"/>
      <c r="H109" s="63" t="n">
        <v>2</v>
      </c>
      <c r="I109" s="62" t="inlineStr">
        <is>
          <t>P1-Cao</t>
        </is>
      </c>
      <c r="J109" s="59" t="inlineStr">
        <is>
          <t>Sổ kép</t>
        </is>
      </c>
      <c r="K109" s="62" t="inlineStr">
        <is>
          <t>Chưa bắt đầu</t>
        </is>
      </c>
      <c r="L109" s="64" t="n">
        <v>0</v>
      </c>
      <c r="M109" s="63">
        <f>H109*(1-L109)</f>
        <v/>
      </c>
      <c r="N109" s="62" t="n"/>
      <c r="O109" s="59" t="inlineStr">
        <is>
          <t>Hiện chỉ ghi trips.cancellation_fee, không có bút toán ví nào</t>
        </is>
      </c>
    </row>
    <row r="110" ht="22.35" customHeight="1" s="38">
      <c r="A110" s="62" t="inlineStr">
        <is>
          <t>P5-07</t>
        </is>
      </c>
      <c r="B110" s="59" t="inlineStr">
        <is>
          <t>P5 - Ledger &amp; Finance</t>
        </is>
      </c>
      <c r="C110" s="59" t="inlineStr">
        <is>
          <t>Backend</t>
        </is>
      </c>
      <c r="D110" s="59" t="inlineStr">
        <is>
          <t>Làm rõ 4% chưa hạch toán (100 - 58 tài xế - 38 nền tảng)</t>
        </is>
      </c>
      <c r="E110" s="59" t="inlineStr">
        <is>
          <t>Có kết luận bằng văn bản + kiểm tra trong job đối soát</t>
        </is>
      </c>
      <c r="F110" s="62" t="inlineStr">
        <is>
          <t>TL</t>
        </is>
      </c>
      <c r="G110" s="59" t="n"/>
      <c r="H110" s="63" t="n">
        <v>1</v>
      </c>
      <c r="I110" s="62" t="inlineStr">
        <is>
          <t>P0-Bắt buộc</t>
        </is>
      </c>
      <c r="J110" s="59" t="n"/>
      <c r="K110" s="62" t="inlineStr">
        <is>
          <t>Chưa bắt đầu</t>
        </is>
      </c>
      <c r="L110" s="64" t="n">
        <v>0</v>
      </c>
      <c r="M110" s="63">
        <f>H110*(1-L110)</f>
        <v/>
      </c>
      <c r="N110" s="62" t="n"/>
      <c r="O110" s="59" t="inlineStr">
        <is>
          <t>Đã kiểm chứng trong code: khoản này hiện không vào bút toán nào và đối soát không kiểm</t>
        </is>
      </c>
    </row>
    <row r="111" ht="22.35" customHeight="1" s="38">
      <c r="A111" s="62" t="inlineStr">
        <is>
          <t>P5-08</t>
        </is>
      </c>
      <c r="B111" s="59" t="inlineStr">
        <is>
          <t>P5 - Ledger &amp; Finance</t>
        </is>
      </c>
      <c r="C111" s="59" t="inlineStr">
        <is>
          <t>Backend</t>
        </is>
      </c>
      <c r="D111" s="59" t="inlineStr">
        <is>
          <t>Payment state machine đầy đủ: pre-auth, capture, retry 3 lần, dispute, refund</t>
        </is>
      </c>
      <c r="E111" s="59" t="inlineStr">
        <is>
          <t>Capture lỗi tự retry, quá 3 lần chuyển debt_pending</t>
        </is>
      </c>
      <c r="F111" s="62" t="inlineStr">
        <is>
          <t>BE</t>
        </is>
      </c>
      <c r="G111" s="59" t="n"/>
      <c r="H111" s="63" t="n">
        <v>6</v>
      </c>
      <c r="I111" s="62" t="inlineStr">
        <is>
          <t>P0-Bắt buộc</t>
        </is>
      </c>
      <c r="J111" s="59" t="inlineStr">
        <is>
          <t>Sổ kép</t>
        </is>
      </c>
      <c r="K111" s="62" t="inlineStr">
        <is>
          <t>Chưa bắt đầu</t>
        </is>
      </c>
      <c r="L111" s="64" t="n">
        <v>0</v>
      </c>
      <c r="M111" s="63">
        <f>H111*(1-L111)</f>
        <v/>
      </c>
      <c r="N111" s="62" t="n"/>
      <c r="O111" s="59" t="inlineStr">
        <is>
          <t>Hiện chỉ 4 trạng thái pending/completed/failed/refunded, không retry</t>
        </is>
      </c>
    </row>
    <row r="112" ht="22.35" customHeight="1" s="38">
      <c r="A112" s="62" t="inlineStr">
        <is>
          <t>P5-09</t>
        </is>
      </c>
      <c r="B112" s="59" t="inlineStr">
        <is>
          <t>P5 - Ledger &amp; Finance</t>
        </is>
      </c>
      <c r="C112" s="59" t="inlineStr">
        <is>
          <t>Backend</t>
        </is>
      </c>
      <c r="D112" s="59" t="inlineStr">
        <is>
          <t>[TUỲ QUYẾT ĐỊNH] Nhánh tiền mặt + bảng driver_debts</t>
        </is>
      </c>
      <c r="E112" s="59" t="inlineStr">
        <is>
          <t>Tài xế thu tiền mặt, hệ thống ghi nợ hoa hồng, chặn nhận chuyến khi nợ &gt; 300k</t>
        </is>
      </c>
      <c r="F112" s="62" t="inlineStr">
        <is>
          <t>BE</t>
        </is>
      </c>
      <c r="G112" s="59" t="n"/>
      <c r="H112" s="63" t="n">
        <v>8</v>
      </c>
      <c r="I112" s="62" t="inlineStr">
        <is>
          <t>P0-Bắt buộc</t>
        </is>
      </c>
      <c r="J112" s="59" t="inlineStr">
        <is>
          <t>Sổ kép</t>
        </is>
      </c>
      <c r="K112" s="62" t="inlineStr">
        <is>
          <t>Bị chặn</t>
        </is>
      </c>
      <c r="L112" s="64" t="n">
        <v>0</v>
      </c>
      <c r="M112" s="63">
        <f>H112*(1-L112)</f>
        <v/>
      </c>
      <c r="N112" s="62" t="n"/>
      <c r="O112" s="59" t="inlineStr">
        <is>
          <t>ĐANG CHỜ QUYẾT ĐỊNH: tài liệu thiết kế rất kỹ nhưng code đang tắt hẳn (CASH_DISABLED)</t>
        </is>
      </c>
    </row>
    <row r="113" ht="15" customHeight="1" s="38">
      <c r="A113" s="62" t="inlineStr">
        <is>
          <t>P5-10</t>
        </is>
      </c>
      <c r="B113" s="59" t="inlineStr">
        <is>
          <t>P5 - Ledger &amp; Finance</t>
        </is>
      </c>
      <c r="C113" s="59" t="inlineStr">
        <is>
          <t>Backend</t>
        </is>
      </c>
      <c r="D113" s="59" t="inlineStr">
        <is>
          <t>Tích hợp VNPay thật: ký HMAC, IPN webhook idempotent</t>
        </is>
      </c>
      <c r="E113" s="59" t="inlineStr">
        <is>
          <t>Thanh toán và hoàn tiền thật chạy trên staging</t>
        </is>
      </c>
      <c r="F113" s="62" t="inlineStr">
        <is>
          <t>BE</t>
        </is>
      </c>
      <c r="G113" s="59" t="n"/>
      <c r="H113" s="63" t="n">
        <v>6</v>
      </c>
      <c r="I113" s="62" t="inlineStr">
        <is>
          <t>P0-Bắt buộc</t>
        </is>
      </c>
      <c r="J113" s="59" t="inlineStr">
        <is>
          <t>Payment state machine</t>
        </is>
      </c>
      <c r="K113" s="62" t="inlineStr">
        <is>
          <t>Chưa bắt đầu</t>
        </is>
      </c>
      <c r="L113" s="64" t="n">
        <v>0</v>
      </c>
      <c r="M113" s="63">
        <f>H113*(1-L113)</f>
        <v/>
      </c>
      <c r="N113" s="62" t="n"/>
      <c r="O113" s="59" t="inlineStr">
        <is>
          <t>gateway.py: VNPayGateway hiện raise NotImplementedError</t>
        </is>
      </c>
    </row>
    <row r="114" ht="22.35" customHeight="1" s="38">
      <c r="A114" s="62" t="inlineStr">
        <is>
          <t>P5-11</t>
        </is>
      </c>
      <c r="B114" s="59" t="inlineStr">
        <is>
          <t>P5 - Ledger &amp; Finance</t>
        </is>
      </c>
      <c r="C114" s="59" t="inlineStr">
        <is>
          <t>Frontend</t>
        </is>
      </c>
      <c r="D114" s="59" t="inlineStr">
        <is>
          <t>Console: Finance - đối soát ngày, sổ ví/ký quỹ, duyệt rút tiền (maker-checker)</t>
        </is>
      </c>
      <c r="E114" s="59" t="inlineStr">
        <is>
          <t>Kế toán tạo lệnh, trưởng phòng duyệt, có audit</t>
        </is>
      </c>
      <c r="F114" s="62" t="inlineStr">
        <is>
          <t>FE</t>
        </is>
      </c>
      <c r="G114" s="59" t="n"/>
      <c r="H114" s="63" t="n">
        <v>6</v>
      </c>
      <c r="I114" s="62" t="inlineStr">
        <is>
          <t>P0-Bắt buộc</t>
        </is>
      </c>
      <c r="J114" s="59" t="inlineStr">
        <is>
          <t>Khung maker-checker</t>
        </is>
      </c>
      <c r="K114" s="62" t="inlineStr">
        <is>
          <t>Chưa bắt đầu</t>
        </is>
      </c>
      <c r="L114" s="64" t="n">
        <v>0</v>
      </c>
      <c r="M114" s="63">
        <f>H114*(1-L114)</f>
        <v/>
      </c>
      <c r="N114" s="62" t="n"/>
      <c r="O114" s="59" t="n"/>
    </row>
    <row r="115" ht="22.35" customHeight="1" s="38">
      <c r="A115" s="62" t="inlineStr">
        <is>
          <t>P5-12</t>
        </is>
      </c>
      <c r="B115" s="59" t="inlineStr">
        <is>
          <t>P5 - Ledger &amp; Finance</t>
        </is>
      </c>
      <c r="C115" s="59" t="inlineStr">
        <is>
          <t>Frontend</t>
        </is>
      </c>
      <c r="D115" s="59" t="inlineStr">
        <is>
          <t>Console: báo cáo doanh thu, take-rate thực, unit economics</t>
        </is>
      </c>
      <c r="E115" s="59" t="inlineStr">
        <is>
          <t>Xuất được báo cáo tháng phục vụ gọi vốn</t>
        </is>
      </c>
      <c r="F115" s="62" t="inlineStr">
        <is>
          <t>FE</t>
        </is>
      </c>
      <c r="G115" s="59" t="n"/>
      <c r="H115" s="63" t="n">
        <v>5</v>
      </c>
      <c r="I115" s="62" t="inlineStr">
        <is>
          <t>P1-Cao</t>
        </is>
      </c>
      <c r="J115" s="59" t="inlineStr">
        <is>
          <t>Sổ kép</t>
        </is>
      </c>
      <c r="K115" s="62" t="inlineStr">
        <is>
          <t>Chưa bắt đầu</t>
        </is>
      </c>
      <c r="L115" s="64" t="n">
        <v>0</v>
      </c>
      <c r="M115" s="63">
        <f>H115*(1-L115)</f>
        <v/>
      </c>
      <c r="N115" s="62" t="n"/>
      <c r="O115" s="59" t="n"/>
    </row>
    <row r="116" ht="22.35" customHeight="1" s="38">
      <c r="A116" s="62" t="inlineStr">
        <is>
          <t>P5-13</t>
        </is>
      </c>
      <c r="B116" s="59" t="inlineStr">
        <is>
          <t>P5 - Ledger &amp; Finance</t>
        </is>
      </c>
      <c r="C116" s="59" t="inlineStr">
        <is>
          <t>QA</t>
        </is>
      </c>
      <c r="D116" s="59" t="inlineStr">
        <is>
          <t>Đối chiếu số liệu: 100 chuyến mô phỏng, kiểm tra sổ cân bằng</t>
        </is>
      </c>
      <c r="E116" s="59" t="inlineStr">
        <is>
          <t>Chênh lệch = 0 ở mọi kịch bản kể cả huỷ/hoàn/phạt</t>
        </is>
      </c>
      <c r="F116" s="62" t="inlineStr">
        <is>
          <t>FE</t>
        </is>
      </c>
      <c r="G116" s="59" t="n"/>
      <c r="H116" s="63" t="n">
        <v>4</v>
      </c>
      <c r="I116" s="62" t="inlineStr">
        <is>
          <t>P0-Bắt buộc</t>
        </is>
      </c>
      <c r="J116" s="59" t="inlineStr">
        <is>
          <t>Settlement sổ kép</t>
        </is>
      </c>
      <c r="K116" s="62" t="inlineStr">
        <is>
          <t>Chưa bắt đầu</t>
        </is>
      </c>
      <c r="L116" s="64" t="n">
        <v>0</v>
      </c>
      <c r="M116" s="63">
        <f>H116*(1-L116)</f>
        <v/>
      </c>
      <c r="N116" s="62" t="n"/>
      <c r="O116" s="59" t="n"/>
    </row>
    <row r="117" ht="15" customHeight="1" s="38">
      <c r="A117" s="62" t="inlineStr">
        <is>
          <t>P6-01</t>
        </is>
      </c>
      <c r="B117" s="59" t="inlineStr">
        <is>
          <t>P6 - Partner &amp; Website</t>
        </is>
      </c>
      <c r="C117" s="59" t="inlineStr">
        <is>
          <t>Backend</t>
        </is>
      </c>
      <c r="D117" s="59" t="inlineStr">
        <is>
          <t>API /partner/* + đăng nhập đối tác bằng email OTP</t>
        </is>
      </c>
      <c r="E117" s="59" t="inlineStr">
        <is>
          <t>Đối tác chỉ thấy dữ liệu của chính mình</t>
        </is>
      </c>
      <c r="F117" s="62" t="inlineStr">
        <is>
          <t>BE</t>
        </is>
      </c>
      <c r="G117" s="59" t="n"/>
      <c r="H117" s="63" t="n">
        <v>4</v>
      </c>
      <c r="I117" s="62" t="inlineStr">
        <is>
          <t>P0-Bắt buộc</t>
        </is>
      </c>
      <c r="J117" s="59" t="inlineStr">
        <is>
          <t>Tách router</t>
        </is>
      </c>
      <c r="K117" s="62" t="inlineStr">
        <is>
          <t>Chưa bắt đầu</t>
        </is>
      </c>
      <c r="L117" s="64" t="n">
        <v>0</v>
      </c>
      <c r="M117" s="63">
        <f>H117*(1-L117)</f>
        <v/>
      </c>
      <c r="N117" s="62" t="n"/>
      <c r="O117" s="59" t="inlineStr">
        <is>
          <t>Model partners đã có, chưa có lớp xác thực riêng cho đối tác</t>
        </is>
      </c>
    </row>
    <row r="118" ht="15" customHeight="1" s="38">
      <c r="A118" s="62" t="inlineStr">
        <is>
          <t>P6-02</t>
        </is>
      </c>
      <c r="B118" s="59" t="inlineStr">
        <is>
          <t>P6 - Partner &amp; Website</t>
        </is>
      </c>
      <c r="C118" s="59" t="inlineStr">
        <is>
          <t>Frontend</t>
        </is>
      </c>
      <c r="D118" s="59" t="inlineStr">
        <is>
          <t>Partner Portal: scaffold + auth + layout</t>
        </is>
      </c>
      <c r="E118" s="59" t="inlineStr">
        <is>
          <t>Đăng nhập và điều hướng cơ bản</t>
        </is>
      </c>
      <c r="F118" s="62" t="inlineStr">
        <is>
          <t>FE</t>
        </is>
      </c>
      <c r="G118" s="59" t="n"/>
      <c r="H118" s="63" t="n">
        <v>3</v>
      </c>
      <c r="I118" s="62" t="inlineStr">
        <is>
          <t>P1-Cao</t>
        </is>
      </c>
      <c r="J118" s="59" t="inlineStr">
        <is>
          <t>packages/ui</t>
        </is>
      </c>
      <c r="K118" s="62" t="inlineStr">
        <is>
          <t>Chưa bắt đầu</t>
        </is>
      </c>
      <c r="L118" s="64" t="n">
        <v>0</v>
      </c>
      <c r="M118" s="63">
        <f>H118*(1-L118)</f>
        <v/>
      </c>
      <c r="N118" s="62" t="n"/>
      <c r="O118" s="59" t="n"/>
    </row>
    <row r="119" ht="15" customHeight="1" s="38">
      <c r="A119" s="62" t="inlineStr">
        <is>
          <t>P6-03</t>
        </is>
      </c>
      <c r="B119" s="59" t="inlineStr">
        <is>
          <t>P6 - Partner &amp; Website</t>
        </is>
      </c>
      <c r="C119" s="59" t="inlineStr">
        <is>
          <t>Frontend</t>
        </is>
      </c>
      <c r="D119" s="59" t="inlineStr">
        <is>
          <t>Portal: QR bàn/quầy, tạo và in ấn</t>
        </is>
      </c>
      <c r="E119" s="59" t="inlineStr">
        <is>
          <t>Nhà hàng in được bộ QR cho 20 bàn</t>
        </is>
      </c>
      <c r="F119" s="62" t="inlineStr">
        <is>
          <t>FE</t>
        </is>
      </c>
      <c r="G119" s="59" t="n"/>
      <c r="H119" s="63" t="n">
        <v>3</v>
      </c>
      <c r="I119" s="62" t="inlineStr">
        <is>
          <t>P1-Cao</t>
        </is>
      </c>
      <c r="J119" s="59" t="inlineStr">
        <is>
          <t>API /partner/*</t>
        </is>
      </c>
      <c r="K119" s="62" t="inlineStr">
        <is>
          <t>Chưa bắt đầu</t>
        </is>
      </c>
      <c r="L119" s="64" t="n">
        <v>0</v>
      </c>
      <c r="M119" s="63">
        <f>H119*(1-L119)</f>
        <v/>
      </c>
      <c r="N119" s="62" t="n"/>
      <c r="O119" s="59" t="n"/>
    </row>
    <row r="120" ht="15" customHeight="1" s="38">
      <c r="A120" s="62" t="inlineStr">
        <is>
          <t>P6-04</t>
        </is>
      </c>
      <c r="B120" s="59" t="inlineStr">
        <is>
          <t>P6 - Partner &amp; Website</t>
        </is>
      </c>
      <c r="C120" s="59" t="inlineStr">
        <is>
          <t>Frontend</t>
        </is>
      </c>
      <c r="D120" s="59" t="inlineStr">
        <is>
          <t>Portal: báo cáo hoa hồng, kỳ chi trả, trạng thái</t>
        </is>
      </c>
      <c r="E120" s="59" t="inlineStr">
        <is>
          <t>Đối tác tự đối chiếu được số tiền nhận</t>
        </is>
      </c>
      <c r="F120" s="62" t="inlineStr">
        <is>
          <t>FE</t>
        </is>
      </c>
      <c r="G120" s="59" t="n"/>
      <c r="H120" s="63" t="n">
        <v>4</v>
      </c>
      <c r="I120" s="62" t="inlineStr">
        <is>
          <t>P1-Cao</t>
        </is>
      </c>
      <c r="J120" s="59" t="inlineStr">
        <is>
          <t>API /partner/*</t>
        </is>
      </c>
      <c r="K120" s="62" t="inlineStr">
        <is>
          <t>Chưa bắt đầu</t>
        </is>
      </c>
      <c r="L120" s="64" t="n">
        <v>0</v>
      </c>
      <c r="M120" s="63">
        <f>H120*(1-L120)</f>
        <v/>
      </c>
      <c r="N120" s="62" t="n"/>
      <c r="O120" s="59" t="n"/>
    </row>
    <row r="121" ht="15" customHeight="1" s="38">
      <c r="A121" s="62" t="inlineStr">
        <is>
          <t>P6-05</t>
        </is>
      </c>
      <c r="B121" s="59" t="inlineStr">
        <is>
          <t>P6 - Partner &amp; Website</t>
        </is>
      </c>
      <c r="C121" s="59" t="inlineStr">
        <is>
          <t>Frontend</t>
        </is>
      </c>
      <c r="D121" s="59" t="inlineStr">
        <is>
          <t>Portal: tải hoá đơn VAT</t>
        </is>
      </c>
      <c r="E121" s="59" t="inlineStr">
        <is>
          <t>Khách sạn tải được hoá đơn PDF</t>
        </is>
      </c>
      <c r="F121" s="62" t="inlineStr">
        <is>
          <t>FE</t>
        </is>
      </c>
      <c r="G121" s="59" t="n"/>
      <c r="H121" s="63" t="n">
        <v>2</v>
      </c>
      <c r="I121" s="62" t="inlineStr">
        <is>
          <t>P2-Trung bình</t>
        </is>
      </c>
      <c r="J121" s="59" t="inlineStr">
        <is>
          <t>Bảng invoices</t>
        </is>
      </c>
      <c r="K121" s="62" t="inlineStr">
        <is>
          <t>Chưa bắt đầu</t>
        </is>
      </c>
      <c r="L121" s="64" t="n">
        <v>0</v>
      </c>
      <c r="M121" s="63">
        <f>H121*(1-L121)</f>
        <v/>
      </c>
      <c r="N121" s="62" t="n"/>
      <c r="O121" s="59" t="n"/>
    </row>
    <row r="122" ht="15" customHeight="1" s="38">
      <c r="A122" s="62" t="inlineStr">
        <is>
          <t>P6-06</t>
        </is>
      </c>
      <c r="B122" s="59" t="inlineStr">
        <is>
          <t>P6 - Partner &amp; Website</t>
        </is>
      </c>
      <c r="C122" s="59" t="inlineStr">
        <is>
          <t>Frontend</t>
        </is>
      </c>
      <c r="D122" s="59" t="inlineStr">
        <is>
          <t>Console: quản lý đối tác + đối soát chi trả hoa hồng</t>
        </is>
      </c>
      <c r="E122" s="59" t="inlineStr">
        <is>
          <t>Tạo đối tác mới, đặt tỷ lệ hoa hồng, chốt kỳ</t>
        </is>
      </c>
      <c r="F122" s="62" t="inlineStr">
        <is>
          <t>FE</t>
        </is>
      </c>
      <c r="G122" s="59" t="n"/>
      <c r="H122" s="63" t="n">
        <v>4</v>
      </c>
      <c r="I122" s="62" t="inlineStr">
        <is>
          <t>P1-Cao</t>
        </is>
      </c>
      <c r="J122" s="59" t="inlineStr">
        <is>
          <t>API /partner/*</t>
        </is>
      </c>
      <c r="K122" s="62" t="inlineStr">
        <is>
          <t>Chưa bắt đầu</t>
        </is>
      </c>
      <c r="L122" s="64" t="n">
        <v>0</v>
      </c>
      <c r="M122" s="63">
        <f>H122*(1-L122)</f>
        <v/>
      </c>
      <c r="N122" s="62" t="n"/>
      <c r="O122" s="59" t="n"/>
    </row>
    <row r="123" ht="22.35" customHeight="1" s="38">
      <c r="A123" s="62" t="inlineStr">
        <is>
          <t>P6-07</t>
        </is>
      </c>
      <c r="B123" s="59" t="inlineStr">
        <is>
          <t>P6 - Partner &amp; Website</t>
        </is>
      </c>
      <c r="C123" s="59" t="inlineStr">
        <is>
          <t>Frontend</t>
        </is>
      </c>
      <c r="D123" s="59" t="inlineStr">
        <is>
          <t>Dựng CMS (Payload self-host, DB riêng) + schema nội dung</t>
        </is>
      </c>
      <c r="E123" s="59" t="inlineStr">
        <is>
          <t>Marketing tự đăng bài không cần dev</t>
        </is>
      </c>
      <c r="F123" s="62" t="inlineStr">
        <is>
          <t>FE</t>
        </is>
      </c>
      <c r="G123" s="59" t="n"/>
      <c r="H123" s="63" t="n">
        <v>5</v>
      </c>
      <c r="I123" s="62" t="inlineStr">
        <is>
          <t>P1-Cao</t>
        </is>
      </c>
      <c r="J123" s="59" t="inlineStr">
        <is>
          <t>P0 xong</t>
        </is>
      </c>
      <c r="K123" s="62" t="inlineStr">
        <is>
          <t>Chưa bắt đầu</t>
        </is>
      </c>
      <c r="L123" s="64" t="n">
        <v>0</v>
      </c>
      <c r="M123" s="63">
        <f>H123*(1-L123)</f>
        <v/>
      </c>
      <c r="N123" s="62" t="n"/>
      <c r="O123" s="59" t="n"/>
    </row>
    <row r="124" ht="22.35" customHeight="1" s="38">
      <c r="A124" s="62" t="inlineStr">
        <is>
          <t>P6-08</t>
        </is>
      </c>
      <c r="B124" s="59" t="inlineStr">
        <is>
          <t>P6 - Partner &amp; Website</t>
        </is>
      </c>
      <c r="C124" s="59" t="inlineStr">
        <is>
          <t>Frontend</t>
        </is>
      </c>
      <c r="D124" s="59" t="inlineStr">
        <is>
          <t>Website Next.js: landing, dịch vụ, bảng giá, blog, tuyển tài xế</t>
        </is>
      </c>
      <c r="E124" s="59" t="inlineStr">
        <is>
          <t>Lên production, điểm Lighthouse ≥ 90</t>
        </is>
      </c>
      <c r="F124" s="62" t="inlineStr">
        <is>
          <t>FE</t>
        </is>
      </c>
      <c r="G124" s="59" t="n"/>
      <c r="H124" s="63" t="n">
        <v>8</v>
      </c>
      <c r="I124" s="62" t="inlineStr">
        <is>
          <t>P1-Cao</t>
        </is>
      </c>
      <c r="J124" s="59" t="inlineStr">
        <is>
          <t>CMS</t>
        </is>
      </c>
      <c r="K124" s="62" t="inlineStr">
        <is>
          <t>Chưa bắt đầu</t>
        </is>
      </c>
      <c r="L124" s="64" t="n">
        <v>0</v>
      </c>
      <c r="M124" s="63">
        <f>H124*(1-L124)</f>
        <v/>
      </c>
      <c r="N124" s="62" t="n"/>
      <c r="O124" s="59" t="n"/>
    </row>
    <row r="125" ht="22.35" customHeight="1" s="38">
      <c r="A125" s="62" t="inlineStr">
        <is>
          <t>P6-09</t>
        </is>
      </c>
      <c r="B125" s="59" t="inlineStr">
        <is>
          <t>P6 - Partner &amp; Website</t>
        </is>
      </c>
      <c r="C125" s="59" t="inlineStr">
        <is>
          <t>Backend</t>
        </is>
      </c>
      <c r="D125" s="59" t="inlineStr">
        <is>
          <t>API /public/*: driver-applications, partner-leads, shared trip + CAPTCHA</t>
        </is>
      </c>
      <c r="E125" s="59" t="inlineStr">
        <is>
          <t>Chống spam, rate limit chặt, không cần đăng nhập</t>
        </is>
      </c>
      <c r="F125" s="62" t="inlineStr">
        <is>
          <t>BE</t>
        </is>
      </c>
      <c r="G125" s="59" t="n"/>
      <c r="H125" s="63" t="n">
        <v>3</v>
      </c>
      <c r="I125" s="62" t="inlineStr">
        <is>
          <t>P1-Cao</t>
        </is>
      </c>
      <c r="J125" s="59" t="inlineStr">
        <is>
          <t>Tách router</t>
        </is>
      </c>
      <c r="K125" s="62" t="inlineStr">
        <is>
          <t>Chưa bắt đầu</t>
        </is>
      </c>
      <c r="L125" s="64" t="n">
        <v>0</v>
      </c>
      <c r="M125" s="63">
        <f>H125*(1-L125)</f>
        <v/>
      </c>
      <c r="N125" s="62" t="n"/>
      <c r="O125" s="59" t="n"/>
    </row>
    <row r="126" ht="15" customHeight="1" s="38">
      <c r="A126" s="62" t="inlineStr">
        <is>
          <t>P6-10</t>
        </is>
      </c>
      <c r="B126" s="59" t="inlineStr">
        <is>
          <t>P6 - Partner &amp; Website</t>
        </is>
      </c>
      <c r="C126" s="59" t="inlineStr">
        <is>
          <t>Frontend</t>
        </is>
      </c>
      <c r="D126" s="59" t="inlineStr">
        <is>
          <t>SEO, sitemap, analytics, tối ưu ảnh</t>
        </is>
      </c>
      <c r="E126" s="59" t="inlineStr">
        <is>
          <t>Index được trên Google, có số liệu truy cập</t>
        </is>
      </c>
      <c r="F126" s="62" t="inlineStr">
        <is>
          <t>FE</t>
        </is>
      </c>
      <c r="G126" s="59" t="n"/>
      <c r="H126" s="63" t="n">
        <v>3</v>
      </c>
      <c r="I126" s="62" t="inlineStr">
        <is>
          <t>P2-Trung bình</t>
        </is>
      </c>
      <c r="J126" s="59" t="inlineStr">
        <is>
          <t>Website</t>
        </is>
      </c>
      <c r="K126" s="62" t="inlineStr">
        <is>
          <t>Chưa bắt đầu</t>
        </is>
      </c>
      <c r="L126" s="64" t="n">
        <v>0</v>
      </c>
      <c r="M126" s="63">
        <f>H126*(1-L126)</f>
        <v/>
      </c>
      <c r="N126" s="62" t="n"/>
      <c r="O126" s="59" t="n"/>
    </row>
    <row r="127" ht="22.35" customHeight="1" s="38">
      <c r="A127" s="62" t="inlineStr">
        <is>
          <t>P6-11</t>
        </is>
      </c>
      <c r="B127" s="59" t="inlineStr">
        <is>
          <t>P6 - Partner &amp; Website</t>
        </is>
      </c>
      <c r="C127" s="59" t="inlineStr">
        <is>
          <t>TL</t>
        </is>
      </c>
      <c r="D127" s="59" t="inlineStr">
        <is>
          <t>Trang chính sách bảo mật, điều khoản (bắt buộc để lên store)</t>
        </is>
      </c>
      <c r="E127" s="59" t="inlineStr">
        <is>
          <t>Có URL công khai để khai báo với App Store/Play</t>
        </is>
      </c>
      <c r="F127" s="62" t="inlineStr">
        <is>
          <t>TL</t>
        </is>
      </c>
      <c r="G127" s="59" t="n"/>
      <c r="H127" s="63" t="n">
        <v>2</v>
      </c>
      <c r="I127" s="62" t="inlineStr">
        <is>
          <t>P0-Bắt buộc</t>
        </is>
      </c>
      <c r="J127" s="59" t="inlineStr">
        <is>
          <t>CMS</t>
        </is>
      </c>
      <c r="K127" s="62" t="inlineStr">
        <is>
          <t>Chưa bắt đầu</t>
        </is>
      </c>
      <c r="L127" s="64" t="n">
        <v>0</v>
      </c>
      <c r="M127" s="63">
        <f>H127*(1-L127)</f>
        <v/>
      </c>
      <c r="N127" s="62" t="n"/>
      <c r="O127" s="59" t="inlineStr">
        <is>
          <t>Bắt buộc theo Nghị định 13/2023 và yêu cầu của 2 store</t>
        </is>
      </c>
    </row>
    <row r="128" ht="15" customHeight="1" s="38">
      <c r="A128" s="62" t="inlineStr">
        <is>
          <t>P7-01</t>
        </is>
      </c>
      <c r="B128" s="59" t="inlineStr">
        <is>
          <t>P7 - Hardening</t>
        </is>
      </c>
      <c r="C128" s="59" t="inlineStr">
        <is>
          <t>DevOps</t>
        </is>
      </c>
      <c r="D128" s="59" t="inlineStr">
        <is>
          <t>Load test: matching và WebSocket 5.000 kết nối đồng thời</t>
        </is>
      </c>
      <c r="E128" s="59" t="inlineStr">
        <is>
          <t>p95 latency đạt ngưỡng đề ra, không rớt kết nối</t>
        </is>
      </c>
      <c r="F128" s="62" t="inlineStr">
        <is>
          <t>TL</t>
        </is>
      </c>
      <c r="G128" s="59" t="n"/>
      <c r="H128" s="63" t="n">
        <v>5</v>
      </c>
      <c r="I128" s="62" t="inlineStr">
        <is>
          <t>P0-Bắt buộc</t>
        </is>
      </c>
      <c r="J128" s="59" t="inlineStr">
        <is>
          <t>P4 xong</t>
        </is>
      </c>
      <c r="K128" s="62" t="inlineStr">
        <is>
          <t>Chưa bắt đầu</t>
        </is>
      </c>
      <c r="L128" s="64" t="n">
        <v>0</v>
      </c>
      <c r="M128" s="63">
        <f>H128*(1-L128)</f>
        <v/>
      </c>
      <c r="N128" s="62" t="n"/>
      <c r="O128" s="59" t="n"/>
    </row>
    <row r="129" ht="15" customHeight="1" s="38">
      <c r="A129" s="62" t="inlineStr">
        <is>
          <t>P7-02</t>
        </is>
      </c>
      <c r="B129" s="59" t="inlineStr">
        <is>
          <t>P7 - Hardening</t>
        </is>
      </c>
      <c r="C129" s="59" t="inlineStr">
        <is>
          <t>Backend</t>
        </is>
      </c>
      <c r="D129" s="59" t="inlineStr">
        <is>
          <t>Tối ưu chỉ mục và truy vấn chậm</t>
        </is>
      </c>
      <c r="E129" s="59" t="inlineStr">
        <is>
          <t>Không còn truy vấn &gt; 200ms trong top 20</t>
        </is>
      </c>
      <c r="F129" s="62" t="inlineStr">
        <is>
          <t>BE</t>
        </is>
      </c>
      <c r="G129" s="59" t="n"/>
      <c r="H129" s="63" t="n">
        <v>4</v>
      </c>
      <c r="I129" s="62" t="inlineStr">
        <is>
          <t>P1-Cao</t>
        </is>
      </c>
      <c r="J129" s="59" t="inlineStr">
        <is>
          <t>Load test</t>
        </is>
      </c>
      <c r="K129" s="62" t="inlineStr">
        <is>
          <t>Chưa bắt đầu</t>
        </is>
      </c>
      <c r="L129" s="64" t="n">
        <v>0</v>
      </c>
      <c r="M129" s="63">
        <f>H129*(1-L129)</f>
        <v/>
      </c>
      <c r="N129" s="62" t="n"/>
      <c r="O129" s="59" t="n"/>
    </row>
    <row r="130" ht="15" customHeight="1" s="38">
      <c r="A130" s="62" t="inlineStr">
        <is>
          <t>P7-03</t>
        </is>
      </c>
      <c r="B130" s="59" t="inlineStr">
        <is>
          <t>P7 - Hardening</t>
        </is>
      </c>
      <c r="C130" s="59" t="inlineStr">
        <is>
          <t>DevOps</t>
        </is>
      </c>
      <c r="D130" s="59" t="inlineStr">
        <is>
          <t>Runbook sự cố + diễn tập khôi phục từ backup</t>
        </is>
      </c>
      <c r="E130" s="59" t="inlineStr">
        <is>
          <t>Khôi phục thành công trong thời gian cam kết</t>
        </is>
      </c>
      <c r="F130" s="62" t="inlineStr">
        <is>
          <t>TL</t>
        </is>
      </c>
      <c r="G130" s="59" t="n"/>
      <c r="H130" s="63" t="n">
        <v>3</v>
      </c>
      <c r="I130" s="62" t="inlineStr">
        <is>
          <t>P0-Bắt buộc</t>
        </is>
      </c>
      <c r="J130" s="59" t="inlineStr">
        <is>
          <t>Backup PITR</t>
        </is>
      </c>
      <c r="K130" s="62" t="inlineStr">
        <is>
          <t>Chưa bắt đầu</t>
        </is>
      </c>
      <c r="L130" s="64" t="n">
        <v>0</v>
      </c>
      <c r="M130" s="63">
        <f>H130*(1-L130)</f>
        <v/>
      </c>
      <c r="N130" s="62" t="n"/>
      <c r="O130" s="59" t="n"/>
    </row>
    <row r="131" ht="15" customHeight="1" s="38">
      <c r="A131" s="62" t="inlineStr">
        <is>
          <t>P7-04</t>
        </is>
      </c>
      <c r="B131" s="59" t="inlineStr">
        <is>
          <t>P7 - Hardening</t>
        </is>
      </c>
      <c r="C131" s="59" t="inlineStr">
        <is>
          <t>DevOps</t>
        </is>
      </c>
      <c r="D131" s="59" t="inlineStr">
        <is>
          <t>Pentest bên ngoài + sửa lỗi phát hiện</t>
        </is>
      </c>
      <c r="E131" s="59" t="inlineStr">
        <is>
          <t>Không còn lỗi mức High/Critical</t>
        </is>
      </c>
      <c r="F131" s="62" t="inlineStr">
        <is>
          <t>TL</t>
        </is>
      </c>
      <c r="G131" s="59" t="n"/>
      <c r="H131" s="63" t="n">
        <v>5</v>
      </c>
      <c r="I131" s="62" t="inlineStr">
        <is>
          <t>P0-Bắt buộc</t>
        </is>
      </c>
      <c r="J131" s="59" t="inlineStr">
        <is>
          <t>P5 xong</t>
        </is>
      </c>
      <c r="K131" s="62" t="inlineStr">
        <is>
          <t>Chưa bắt đầu</t>
        </is>
      </c>
      <c r="L131" s="64" t="n">
        <v>0</v>
      </c>
      <c r="M131" s="63">
        <f>H131*(1-L131)</f>
        <v/>
      </c>
      <c r="N131" s="62" t="n"/>
      <c r="O131" s="59" t="n"/>
    </row>
    <row r="132" ht="22.35" customHeight="1" s="38">
      <c r="A132" s="62" t="inlineStr">
        <is>
          <t>P7-05</t>
        </is>
      </c>
      <c r="B132" s="59" t="inlineStr">
        <is>
          <t>P7 - Hardening</t>
        </is>
      </c>
      <c r="C132" s="59" t="inlineStr">
        <is>
          <t>TL</t>
        </is>
      </c>
      <c r="D132" s="59" t="inlineStr">
        <is>
          <t>Rà soát Nghị định 13/2023: mã hoá PII, chính sách xoá, đồng ý người dùng</t>
        </is>
      </c>
      <c r="E132" s="59" t="inlineStr">
        <is>
          <t>Có bản tự đánh giá tuân thủ</t>
        </is>
      </c>
      <c r="F132" s="62" t="inlineStr">
        <is>
          <t>TL</t>
        </is>
      </c>
      <c r="G132" s="59" t="n"/>
      <c r="H132" s="63" t="n">
        <v>3</v>
      </c>
      <c r="I132" s="62" t="inlineStr">
        <is>
          <t>P0-Bắt buộc</t>
        </is>
      </c>
      <c r="J132" s="59" t="n"/>
      <c r="K132" s="62" t="inlineStr">
        <is>
          <t>Chưa bắt đầu</t>
        </is>
      </c>
      <c r="L132" s="64" t="n">
        <v>0</v>
      </c>
      <c r="M132" s="63">
        <f>H132*(1-L132)</f>
        <v/>
      </c>
      <c r="N132" s="62" t="n"/>
      <c r="O132" s="59" t="inlineStr">
        <is>
          <t>core/security.py đã mã hoá CCCD at-rest — nền tốt, cần rà soát toàn diện</t>
        </is>
      </c>
    </row>
    <row r="133" ht="15" customHeight="1" s="38">
      <c r="A133" s="62" t="inlineStr">
        <is>
          <t>P7-06</t>
        </is>
      </c>
      <c r="B133" s="59" t="inlineStr">
        <is>
          <t>P7 - Hardening</t>
        </is>
      </c>
      <c r="C133" s="59" t="inlineStr">
        <is>
          <t>Backend</t>
        </is>
      </c>
      <c r="D133" s="59" t="inlineStr">
        <is>
          <t>Chuẩn bị đa thành phố: cấu hình vùng, bảng giá theo vùng</t>
        </is>
      </c>
      <c r="E133" s="59" t="inlineStr">
        <is>
          <t>Thêm thành phố thứ 2 không cần sửa code</t>
        </is>
      </c>
      <c r="F133" s="62" t="inlineStr">
        <is>
          <t>BE</t>
        </is>
      </c>
      <c r="G133" s="59" t="n"/>
      <c r="H133" s="63" t="n">
        <v>4</v>
      </c>
      <c r="I133" s="62" t="inlineStr">
        <is>
          <t>P2-Trung bình</t>
        </is>
      </c>
      <c r="J133" s="59" t="inlineStr">
        <is>
          <t>P5 xong</t>
        </is>
      </c>
      <c r="K133" s="62" t="inlineStr">
        <is>
          <t>Chưa bắt đầu</t>
        </is>
      </c>
      <c r="L133" s="64" t="n">
        <v>0</v>
      </c>
      <c r="M133" s="63">
        <f>H133*(1-L133)</f>
        <v/>
      </c>
      <c r="N133" s="62" t="n"/>
      <c r="O133" s="59" t="n"/>
    </row>
    <row r="134" ht="15" customHeight="1" s="38">
      <c r="A134" s="62" t="inlineStr">
        <is>
          <t>P7-07</t>
        </is>
      </c>
      <c r="B134" s="59" t="inlineStr">
        <is>
          <t>P7 - Hardening</t>
        </is>
      </c>
      <c r="C134" s="59" t="inlineStr">
        <is>
          <t>TL</t>
        </is>
      </c>
      <c r="D134" s="59" t="inlineStr">
        <is>
          <t>Tài liệu vận hành + đào tạo đội CSKH và Ops</t>
        </is>
      </c>
      <c r="E134" s="59" t="inlineStr">
        <is>
          <t>CSKH xử lý được ticket không cần hỏi dev</t>
        </is>
      </c>
      <c r="F134" s="62" t="inlineStr">
        <is>
          <t>TL</t>
        </is>
      </c>
      <c r="G134" s="59" t="n"/>
      <c r="H134" s="63" t="n">
        <v>3</v>
      </c>
      <c r="I134" s="62" t="inlineStr">
        <is>
          <t>P0-Bắt buộc</t>
        </is>
      </c>
      <c r="J134" s="59" t="inlineStr">
        <is>
          <t>P2 xong</t>
        </is>
      </c>
      <c r="K134" s="62" t="inlineStr">
        <is>
          <t>Chưa bắt đầu</t>
        </is>
      </c>
      <c r="L134" s="64" t="n">
        <v>0</v>
      </c>
      <c r="M134" s="63">
        <f>H134*(1-L134)</f>
        <v/>
      </c>
      <c r="N134" s="62" t="n"/>
      <c r="O134" s="59" t="n"/>
    </row>
    <row r="135" ht="15" customHeight="1" s="38">
      <c r="A135" s="62" t="inlineStr">
        <is>
          <t>P7-08</t>
        </is>
      </c>
      <c r="B135" s="59" t="inlineStr">
        <is>
          <t>P7 - Hardening</t>
        </is>
      </c>
      <c r="C135" s="59" t="inlineStr">
        <is>
          <t>Mobile</t>
        </is>
      </c>
      <c r="D135" s="59" t="inlineStr">
        <is>
          <t>Nộp store: App Store + Google Play (cả 2 app)</t>
        </is>
      </c>
      <c r="E135" s="59" t="inlineStr">
        <is>
          <t>4 bản app được duyệt</t>
        </is>
      </c>
      <c r="F135" s="62" t="inlineStr">
        <is>
          <t>MOB</t>
        </is>
      </c>
      <c r="G135" s="59" t="n"/>
      <c r="H135" s="63" t="n">
        <v>4</v>
      </c>
      <c r="I135" s="62" t="inlineStr">
        <is>
          <t>P0-Bắt buộc</t>
        </is>
      </c>
      <c r="J135" s="59" t="inlineStr">
        <is>
          <t>P4 xong</t>
        </is>
      </c>
      <c r="K135" s="62" t="inlineStr">
        <is>
          <t>Chưa bắt đầu</t>
        </is>
      </c>
      <c r="L135" s="64" t="n">
        <v>0</v>
      </c>
      <c r="M135" s="63">
        <f>H135*(1-L135)</f>
        <v/>
      </c>
      <c r="N135" s="62" t="n"/>
      <c r="O135" s="59" t="n"/>
    </row>
    <row r="137" ht="15" customHeight="1" s="38">
      <c r="D137" s="54" t="inlineStr">
        <is>
          <t>TỔNG CỘNG</t>
        </is>
      </c>
      <c r="H137" s="65">
        <f>SUM(H5:H135)</f>
        <v/>
      </c>
      <c r="M137" s="65">
        <f>SUM(M5:M135)</f>
        <v/>
      </c>
    </row>
  </sheetData>
  <autoFilter ref="A4:O135"/>
  <mergeCells count="2">
    <mergeCell ref="A1:O1"/>
    <mergeCell ref="A2:O2"/>
  </mergeCells>
  <conditionalFormatting sqref="K5:K135">
    <cfRule type="cellIs" rank="0" priority="2" equalAverage="0" operator="equal" aboveAverage="0" dxfId="1" text="" percent="0" bottom="0">
      <formula>"Đã xong"</formula>
    </cfRule>
    <cfRule type="cellIs" rank="0" priority="3" equalAverage="0" operator="equal" aboveAverage="0" dxfId="2" text="" percent="0" bottom="0">
      <formula>"Đang làm"</formula>
    </cfRule>
    <cfRule type="cellIs" rank="0" priority="4" equalAverage="0" operator="equal" aboveAverage="0" dxfId="0" text="" percent="0" bottom="0">
      <formula>"Bị chặn"</formula>
    </cfRule>
    <cfRule type="cellIs" rank="0" priority="5" equalAverage="0" operator="equal" aboveAverage="0" dxfId="11" text="" percent="0" bottom="0">
      <formula>"Chưa bắt đầu"</formula>
    </cfRule>
  </conditionalFormatting>
  <conditionalFormatting sqref="L5:L135">
    <cfRule type="dataBar" priority="6">
      <dataBar minLength="10" maxLength="90" showValue="1">
        <cfvo type="num" val="0"/>
        <cfvo type="num" val="1"/>
        <color rgb="FF63C384"/>
      </dataBar>
    </cfRule>
  </conditionalFormatting>
  <conditionalFormatting sqref="I5:I135">
    <cfRule type="cellIs" rank="0" priority="7" equalAverage="0" operator="equal" aboveAverage="0" dxfId="12" text="" percent="0" bottom="0">
      <formula>"P0-Bắt buộc"</formula>
    </cfRule>
  </conditionalFormatting>
  <dataValidations count="2">
    <dataValidation sqref="K5:K135" showDropDown="0" showInputMessage="0" showErrorMessage="0" allowBlank="1" type="list" errorStyle="stop" operator="between">
      <formula1>Lists!$A$2:$A$5</formula1>
      <formula2>0</formula2>
    </dataValidation>
    <dataValidation sqref="I5:I135" showDropDown="0" showInputMessage="0" showErrorMessage="0" allowBlank="1" type="list" errorStyle="stop" operator="between">
      <formula1>Lists!$B$2:$B$5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7" min="1" max="2"/>
    <col width="10" customWidth="1" style="37" min="3" max="3"/>
    <col width="26" customWidth="1" style="37" min="4" max="4"/>
  </cols>
  <sheetData>
    <row r="1" ht="15" customHeight="1" s="38">
      <c r="A1" s="66" t="inlineStr">
        <is>
          <t>Trạng thái</t>
        </is>
      </c>
      <c r="B1" s="66" t="inlineStr">
        <is>
          <t>Ưu tiên</t>
        </is>
      </c>
      <c r="C1" s="66" t="inlineStr">
        <is>
          <t>Vai trò</t>
        </is>
      </c>
      <c r="D1" s="66" t="inlineStr">
        <is>
          <t>Giai đoạn</t>
        </is>
      </c>
    </row>
    <row r="2" ht="15" customHeight="1" s="38">
      <c r="A2" s="43" t="inlineStr">
        <is>
          <t>Chưa bắt đầu</t>
        </is>
      </c>
      <c r="B2" s="43" t="inlineStr">
        <is>
          <t>P0-Bắt buộc</t>
        </is>
      </c>
      <c r="C2" s="43" t="inlineStr">
        <is>
          <t>TL</t>
        </is>
      </c>
      <c r="D2" s="43" t="inlineStr">
        <is>
          <t>P0 - Dọn nền</t>
        </is>
      </c>
    </row>
    <row r="3" ht="15" customHeight="1" s="38">
      <c r="A3" s="43" t="inlineStr">
        <is>
          <t>Đang làm</t>
        </is>
      </c>
      <c r="B3" s="43" t="inlineStr">
        <is>
          <t>P1-Cao</t>
        </is>
      </c>
      <c r="C3" s="43" t="inlineStr">
        <is>
          <t>BE</t>
        </is>
      </c>
      <c r="D3" s="43" t="inlineStr">
        <is>
          <t>P1 - IAM &amp; Console khung</t>
        </is>
      </c>
    </row>
    <row r="4" ht="15" customHeight="1" s="38">
      <c r="A4" s="43" t="inlineStr">
        <is>
          <t>Đã xong</t>
        </is>
      </c>
      <c r="B4" s="43" t="inlineStr">
        <is>
          <t>P2-Trung bình</t>
        </is>
      </c>
      <c r="C4" s="43" t="inlineStr">
        <is>
          <t>MOB</t>
        </is>
      </c>
      <c r="D4" s="43" t="inlineStr">
        <is>
          <t>P2 - Chat &amp; Support</t>
        </is>
      </c>
    </row>
    <row r="5" ht="15" customHeight="1" s="38">
      <c r="A5" s="43" t="inlineStr">
        <is>
          <t>Bị chặn</t>
        </is>
      </c>
      <c r="B5" s="43" t="inlineStr">
        <is>
          <t>P3-Thấp</t>
        </is>
      </c>
      <c r="C5" s="43" t="inlineStr">
        <is>
          <t>FE</t>
        </is>
      </c>
      <c r="D5" s="43" t="inlineStr">
        <is>
          <t>P3 - Driver App</t>
        </is>
      </c>
    </row>
    <row r="6" ht="15" customHeight="1" s="38">
      <c r="D6" s="43" t="inlineStr">
        <is>
          <t>P4 - Rider App</t>
        </is>
      </c>
    </row>
    <row r="7" ht="15" customHeight="1" s="38">
      <c r="D7" s="43" t="inlineStr">
        <is>
          <t>P5 - Ledger &amp; Finance</t>
        </is>
      </c>
    </row>
    <row r="8" ht="15" customHeight="1" s="38">
      <c r="D8" s="43" t="inlineStr">
        <is>
          <t>P6 - Partner &amp; Website</t>
        </is>
      </c>
    </row>
    <row r="9" ht="15" customHeight="1" s="38">
      <c r="D9" s="43" t="inlineStr">
        <is>
          <t>P7 - Hardening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37" min="1" max="1"/>
    <col width="26" customWidth="1" style="37" min="2" max="2"/>
    <col width="42" customWidth="1" style="37" min="3" max="3"/>
    <col width="13" customWidth="1" style="37" min="4" max="4"/>
    <col width="12" customWidth="1" style="37" min="5" max="5"/>
    <col width="14" customWidth="1" style="37" min="6" max="6"/>
    <col width="16" customWidth="1" style="37" min="7" max="7"/>
    <col width="14" customWidth="1" style="37" min="8" max="8"/>
    <col width="46" customWidth="1" style="37" min="9" max="9"/>
  </cols>
  <sheetData>
    <row r="1" ht="24" customHeight="1" s="38">
      <c r="A1" s="39" t="inlineStr">
        <is>
          <t>ĐỘI NGŨ &amp; NĂNG LỰC</t>
        </is>
      </c>
    </row>
    <row r="2" ht="15" customHeight="1" s="38">
      <c r="A2" s="40" t="inlineStr">
        <is>
          <t>Cột G tự cộng từ Backlog theo vai trò. Cột H cho thấy ai là điểm nghẽn của dự án.</t>
        </is>
      </c>
    </row>
    <row r="4" ht="31.5" customHeight="1" s="38">
      <c r="A4" s="45" t="inlineStr">
        <is>
          <t>Mã</t>
        </is>
      </c>
      <c r="B4" s="45" t="inlineStr">
        <is>
          <t>Vai trò</t>
        </is>
      </c>
      <c r="C4" s="45" t="inlineStr">
        <is>
          <t>Phạm vi công việc</t>
        </is>
      </c>
      <c r="D4" s="45" t="inlineStr">
        <is>
          <t>Ngày hiệu quả / sprint</t>
        </is>
      </c>
      <c r="E4" s="45" t="inlineStr">
        <is>
          <t>Hệ số sẵn sàng</t>
        </is>
      </c>
      <c r="F4" s="45" t="inlineStr">
        <is>
          <t>Năng lực thực / sprint</t>
        </is>
      </c>
      <c r="G4" s="45" t="inlineStr">
        <is>
          <t>Ngày công còn lại được giao</t>
        </is>
      </c>
      <c r="H4" s="45" t="inlineStr">
        <is>
          <t>Số sprint để làm hết</t>
        </is>
      </c>
      <c r="I4" s="45" t="inlineStr">
        <is>
          <t>Ghi chú</t>
        </is>
      </c>
    </row>
    <row r="5" ht="23.85" customHeight="1" s="38">
      <c r="A5" s="46" t="inlineStr">
        <is>
          <t>TL</t>
        </is>
      </c>
      <c r="B5" s="46" t="inlineStr">
        <is>
          <t>Tech Lead / Full-stack</t>
        </is>
      </c>
      <c r="C5" s="46" t="inlineStr">
        <is>
          <t>Kiến trúc, backend lõi, DevOps, review code, tài liệu</t>
        </is>
      </c>
      <c r="D5" s="47" t="n">
        <v>8</v>
      </c>
      <c r="E5" s="49" t="n">
        <v>0.7</v>
      </c>
      <c r="F5" s="48">
        <f>D5*E5</f>
        <v/>
      </c>
      <c r="G5" s="48">
        <f>SUMIFS(Backlog!$M$5:$M$135,Backlog!$F$5:$F$135,$A5)</f>
        <v/>
      </c>
      <c r="H5" s="48">
        <f>IFERROR(ROUND(G5/F5,1),0)</f>
        <v/>
      </c>
      <c r="I5" s="46" t="inlineStr">
        <is>
          <t>Kiêm DevOps nên chỉ ~70% thời gian cho task trong bảng</t>
        </is>
      </c>
    </row>
    <row r="6" ht="23.85" customHeight="1" s="38">
      <c r="A6" s="46" t="inlineStr">
        <is>
          <t>BE</t>
        </is>
      </c>
      <c r="B6" s="46" t="inlineStr">
        <is>
          <t>Backend Engineer (Python)</t>
        </is>
      </c>
      <c r="C6" s="46" t="inlineStr">
        <is>
          <t>FastAPI, domain services, migration, tích hợp bên thứ 3</t>
        </is>
      </c>
      <c r="D6" s="47" t="n">
        <v>8</v>
      </c>
      <c r="E6" s="49" t="n">
        <v>0.9</v>
      </c>
      <c r="F6" s="48">
        <f>D6*E6</f>
        <v/>
      </c>
      <c r="G6" s="48">
        <f>SUMIFS(Backlog!$M$5:$M$135,Backlog!$F$5:$F$135,$A6)</f>
        <v/>
      </c>
      <c r="H6" s="48">
        <f>IFERROR(ROUND(G6/F6,1),0)</f>
        <v/>
      </c>
      <c r="I6" s="46" t="n"/>
    </row>
    <row r="7" ht="23.85" customHeight="1" s="38">
      <c r="A7" s="46" t="inlineStr">
        <is>
          <t>MOB</t>
        </is>
      </c>
      <c r="B7" s="46" t="inlineStr">
        <is>
          <t>Mobile Engineer (RN/Expo)</t>
        </is>
      </c>
      <c r="C7" s="46" t="inlineStr">
        <is>
          <t>App tài xế + app khách</t>
        </is>
      </c>
      <c r="D7" s="47" t="n">
        <v>8</v>
      </c>
      <c r="E7" s="49" t="n">
        <v>0.9</v>
      </c>
      <c r="F7" s="48">
        <f>D7*E7</f>
        <v/>
      </c>
      <c r="G7" s="48">
        <f>SUMIFS(Backlog!$M$5:$M$135,Backlog!$F$5:$F$135,$A7)</f>
        <v/>
      </c>
      <c r="H7" s="48">
        <f>IFERROR(ROUND(G7/F7,1),0)</f>
        <v/>
      </c>
      <c r="I7" s="46" t="inlineStr">
        <is>
          <t>ĐIỂM NGHẼN: 1 người gánh cả 2 app — xem sheet Rủi ro</t>
        </is>
      </c>
    </row>
    <row r="8" ht="15" customHeight="1" s="38">
      <c r="A8" s="46" t="inlineStr">
        <is>
          <t>FE</t>
        </is>
      </c>
      <c r="B8" s="46" t="inlineStr">
        <is>
          <t>Frontend Engineer + QA</t>
        </is>
      </c>
      <c r="C8" s="46" t="inlineStr">
        <is>
          <t>Console, Partner Portal, Website, kiểm thử</t>
        </is>
      </c>
      <c r="D8" s="47" t="n">
        <v>8</v>
      </c>
      <c r="E8" s="49" t="n">
        <v>0.9</v>
      </c>
      <c r="F8" s="48">
        <f>D8*E8</f>
        <v/>
      </c>
      <c r="G8" s="48">
        <f>SUMIFS(Backlog!$M$5:$M$135,Backlog!$F$5:$F$135,$A8)</f>
        <v/>
      </c>
      <c r="H8" s="48">
        <f>IFERROR(ROUND(G8/F8,1),0)</f>
        <v/>
      </c>
      <c r="I8" s="46" t="inlineStr">
        <is>
          <t>Kiêm QA nên tải thực tế cao</t>
        </is>
      </c>
    </row>
    <row r="9" ht="15" customHeight="1" s="38">
      <c r="A9" s="50" t="n"/>
      <c r="B9" s="50" t="inlineStr">
        <is>
          <t>TỔNG</t>
        </is>
      </c>
      <c r="C9" s="50" t="n"/>
      <c r="D9" s="51" t="n"/>
      <c r="E9" s="53" t="n"/>
      <c r="F9" s="52">
        <f>SUM(F5:F8)</f>
        <v/>
      </c>
      <c r="G9" s="52">
        <f>SUM(G5:G8)</f>
        <v/>
      </c>
      <c r="H9" s="52" t="n"/>
      <c r="I9" s="50" t="n"/>
    </row>
    <row r="11" ht="15" customHeight="1" s="38">
      <c r="A11" s="44" t="inlineStr">
        <is>
          <t>CÁCH ĐỌC</t>
        </is>
      </c>
    </row>
    <row r="12" ht="15" customHeight="1" s="38">
      <c r="A12" s="67" t="inlineStr">
        <is>
          <t>• Cột H tô đỏ khi vượt 12 sprint (≈6 tháng) — vai trò đó một mình đã kéo dài dự án quá nửa năm.</t>
        </is>
      </c>
    </row>
    <row r="13" ht="15" customHeight="1" s="38">
      <c r="A13" s="67" t="inlineStr">
        <is>
          <t>• Ở trạng thái hiện tại, BE là vai trò nặng nhất (≈24 sprint), không phải MOB. Đây là đường găng thật — xem Rủi ro R1.</t>
        </is>
      </c>
    </row>
    <row r="14" ht="15" customHeight="1" s="38">
      <c r="A14" s="67" t="inlineStr">
        <is>
          <t>• Cách cân tải rẻ nhất: Tech Lead nhận bớt ~40% khối lượng backend (đổi cột Vai trò của các task backend sang TL) và tăng hệ số sẵn sàng của TL.</t>
        </is>
      </c>
    </row>
    <row r="15" ht="15" customHeight="1" s="38">
      <c r="A15" s="67" t="inlineStr">
        <is>
          <t>• Hệ số sẵn sàng: TL để 70% vì kiêm DevOps và review; các vai trò khác 90% (10% cho họp, hỗ trợ, sự cố).</t>
        </is>
      </c>
    </row>
    <row r="16" ht="15" customHeight="1" s="38">
      <c r="A16" s="67" t="inlineStr">
        <is>
          <t>• Cột G chỉ tính phần CÒN LẠI (đã trừ % hoàn thành), nên sẽ giảm dần khi đội cập nhật Backlog.</t>
        </is>
      </c>
    </row>
  </sheetData>
  <mergeCells count="7">
    <mergeCell ref="A15:I15"/>
    <mergeCell ref="A2:I2"/>
    <mergeCell ref="A13:I13"/>
    <mergeCell ref="A14:I14"/>
    <mergeCell ref="A1:I1"/>
    <mergeCell ref="A12:I12"/>
    <mergeCell ref="A16:I16"/>
  </mergeCells>
  <conditionalFormatting sqref="H5:H8">
    <cfRule type="cellIs" rank="0" priority="2" equalAverage="0" operator="greaterThan" aboveAverage="0" dxfId="13" text="" percent="0" bottom="0">
      <formula>12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2"/>
    <col width="16" customWidth="1" style="37" min="3" max="3"/>
    <col width="70" customWidth="1" style="37" min="4" max="4"/>
    <col width="44" customWidth="1" style="37" min="5" max="5"/>
  </cols>
  <sheetData>
    <row r="1" ht="24" customHeight="1" s="38">
      <c r="A1" s="39" t="inlineStr">
        <is>
          <t>KẾ HOẠCH SPRINT — 2 tuần/sprint</t>
        </is>
      </c>
    </row>
    <row r="2" ht="15" customHeight="1" s="38">
      <c r="A2" s="40" t="inlineStr">
        <is>
          <t>Kế hoạch chỉ dẫn, không cứng nhắc. Điều chỉnh sau mỗi buổi họp rút kinh nghiệm cuối sprint.</t>
        </is>
      </c>
    </row>
    <row r="4" ht="31.5" customHeight="1" s="38">
      <c r="A4" s="45" t="inlineStr">
        <is>
          <t>Sprint</t>
        </is>
      </c>
      <c r="B4" s="45" t="inlineStr">
        <is>
          <t>Tuần</t>
        </is>
      </c>
      <c r="C4" s="45" t="inlineStr">
        <is>
          <t>Giai đoạn chính</t>
        </is>
      </c>
      <c r="D4" s="45" t="inlineStr">
        <is>
          <t>Mục tiêu sprint (kết quả nhìn thấy được)</t>
        </is>
      </c>
      <c r="E4" s="45" t="inlineStr">
        <is>
          <t>Cột mốc</t>
        </is>
      </c>
    </row>
    <row r="5" ht="15" customHeight="1" s="38">
      <c r="A5" s="47" t="inlineStr">
        <is>
          <t>S1</t>
        </is>
      </c>
      <c r="B5" s="47" t="inlineStr">
        <is>
          <t>1-2</t>
        </is>
      </c>
      <c r="C5" s="47" t="inlineStr">
        <is>
          <t>P0</t>
        </is>
      </c>
      <c r="D5" s="46" t="inlineStr">
        <is>
          <t>Monorepo dựng xong, CI xanh, xoá backend cũ, sinh api-client tự động</t>
        </is>
      </c>
      <c r="E5" s="46" t="n"/>
    </row>
    <row r="6" ht="15" customHeight="1" s="38">
      <c r="A6" s="68" t="inlineStr">
        <is>
          <t>S2</t>
        </is>
      </c>
      <c r="B6" s="68" t="inlineStr">
        <is>
          <t>3-4</t>
        </is>
      </c>
      <c r="C6" s="68" t="inlineStr">
        <is>
          <t>P0</t>
        </is>
      </c>
      <c r="D6" s="69" t="inlineStr">
        <is>
          <t>Staging chạy, secret tách khỏi repo, backup PITR, rate limit + idempotency trên Redis</t>
        </is>
      </c>
      <c r="E6" s="70" t="inlineStr">
        <is>
          <t>MỐC: có môi trường staging</t>
        </is>
      </c>
    </row>
    <row r="7" ht="15" customHeight="1" s="38">
      <c r="A7" s="47" t="inlineStr">
        <is>
          <t>S3</t>
        </is>
      </c>
      <c r="B7" s="47" t="inlineStr">
        <is>
          <t>5-6</t>
        </is>
      </c>
      <c r="C7" s="47" t="inlineStr">
        <is>
          <t>P0 → P1</t>
        </is>
      </c>
      <c r="D7" s="46" t="inlineStr">
        <is>
          <t>Xoay vòng refresh token, audit log, khởi động domains/iam</t>
        </is>
      </c>
      <c r="E7" s="46" t="n"/>
    </row>
    <row r="8" ht="15" customHeight="1" s="38">
      <c r="A8" s="47" t="inlineStr">
        <is>
          <t>S4</t>
        </is>
      </c>
      <c r="B8" s="47" t="inlineStr">
        <is>
          <t>7-8</t>
        </is>
      </c>
      <c r="C8" s="47" t="inlineStr">
        <is>
          <t>P1</t>
        </is>
      </c>
      <c r="D8" s="46" t="inlineStr">
        <is>
          <t>Đăng nhập nội bộ 2FA, permission, khung maker-checker, Console scaffold</t>
        </is>
      </c>
      <c r="E8" s="46" t="n"/>
    </row>
    <row r="9" ht="15" customHeight="1" s="38">
      <c r="A9" s="68" t="inlineStr">
        <is>
          <t>S5</t>
        </is>
      </c>
      <c r="B9" s="68" t="inlineStr">
        <is>
          <t>9-10</t>
        </is>
      </c>
      <c r="C9" s="68" t="inlineStr">
        <is>
          <t>P1</t>
        </is>
      </c>
      <c r="D9" s="69" t="inlineStr">
        <is>
          <t>Console: IAM + Driver Ops duyệt hồ sơ</t>
        </is>
      </c>
      <c r="E9" s="70" t="inlineStr">
        <is>
          <t>MỐC: duyệt hồ sơ tài xế không cần vào DB</t>
        </is>
      </c>
    </row>
    <row r="10" ht="15" customHeight="1" s="38">
      <c r="A10" s="68" t="inlineStr">
        <is>
          <t>S6</t>
        </is>
      </c>
      <c r="B10" s="68" t="inlineStr">
        <is>
          <t>11-12</t>
        </is>
      </c>
      <c r="C10" s="68" t="inlineStr">
        <is>
          <t>P1</t>
        </is>
      </c>
      <c r="D10" s="69" t="inlineStr">
        <is>
          <t>Console: Live Ops map + danh sách chuyến + tua lộ trình</t>
        </is>
      </c>
      <c r="E10" s="70" t="inlineStr">
        <is>
          <t>MỐC: Console dùng được cho vận hành</t>
        </is>
      </c>
    </row>
    <row r="11" ht="15" customHeight="1" s="38">
      <c r="A11" s="47" t="inlineStr">
        <is>
          <t>S7</t>
        </is>
      </c>
      <c r="B11" s="47" t="inlineStr">
        <is>
          <t>13-14</t>
        </is>
      </c>
      <c r="C11" s="47" t="inlineStr">
        <is>
          <t>P2</t>
        </is>
      </c>
      <c r="D11" s="46" t="inlineStr">
        <is>
          <t>Data model chat, chat service, WS gateway đa topic</t>
        </is>
      </c>
      <c r="E11" s="46" t="n"/>
    </row>
    <row r="12" ht="15" customHeight="1" s="38">
      <c r="A12" s="47" t="inlineStr">
        <is>
          <t>S8</t>
        </is>
      </c>
      <c r="B12" s="47" t="inlineStr">
        <is>
          <t>15-16</t>
        </is>
      </c>
      <c r="C12" s="47" t="inlineStr">
        <is>
          <t>P2</t>
        </is>
      </c>
      <c r="D12" s="46" t="inlineStr">
        <is>
          <t>domains/support, SLA, phân công, push FCM</t>
        </is>
      </c>
      <c r="E12" s="46" t="n"/>
    </row>
    <row r="13" ht="15" customHeight="1" s="38">
      <c r="A13" s="68" t="inlineStr">
        <is>
          <t>S9</t>
        </is>
      </c>
      <c r="B13" s="68" t="inlineStr">
        <is>
          <t>17-18</t>
        </is>
      </c>
      <c r="C13" s="68" t="inlineStr">
        <is>
          <t>P2</t>
        </is>
      </c>
      <c r="D13" s="69" t="inlineStr">
        <is>
          <t>Console Support Desk + chat 3 bên + realtime-client</t>
        </is>
      </c>
      <c r="E13" s="70" t="inlineStr">
        <is>
          <t>MỐC: CSKH chat được với khách và tài xế</t>
        </is>
      </c>
    </row>
    <row r="14" ht="23.85" customHeight="1" s="38">
      <c r="A14" s="68" t="inlineStr">
        <is>
          <t>S10</t>
        </is>
      </c>
      <c r="B14" s="68" t="inlineStr">
        <is>
          <t>19-20</t>
        </is>
      </c>
      <c r="C14" s="68" t="inlineStr">
        <is>
          <t>P3</t>
        </is>
      </c>
      <c r="D14" s="69" t="inlineStr">
        <is>
          <t>Expo scaffold + auth + spike GPS nền (ưu tiên số 1)</t>
        </is>
      </c>
      <c r="E14" s="70" t="inlineStr">
        <is>
          <t>QUYẾT ĐỊNH: Expo managed hay development build</t>
        </is>
      </c>
    </row>
    <row r="15" ht="15" customHeight="1" s="38">
      <c r="A15" s="47" t="inlineStr">
        <is>
          <t>S11</t>
        </is>
      </c>
      <c r="B15" s="47" t="inlineStr">
        <is>
          <t>21-22</t>
        </is>
      </c>
      <c r="C15" s="47" t="inlineStr">
        <is>
          <t>P3</t>
        </is>
      </c>
      <c r="D15" s="46" t="inlineStr">
        <is>
          <t>Ca làm, QR động, nhận offer, điều hướng</t>
        </is>
      </c>
      <c r="E15" s="46" t="n"/>
    </row>
    <row r="16" ht="15" customHeight="1" s="38">
      <c r="A16" s="47" t="inlineStr">
        <is>
          <t>S12</t>
        </is>
      </c>
      <c r="B16" s="47" t="inlineStr">
        <is>
          <t>23-24</t>
        </is>
      </c>
      <c r="C16" s="47" t="inlineStr">
        <is>
          <t>P3</t>
        </is>
      </c>
      <c r="D16" s="46" t="inlineStr">
        <is>
          <t>GPS nền hoàn chỉnh, hàng đợi offline, tối ưu pin</t>
        </is>
      </c>
      <c r="E16" s="46" t="n"/>
    </row>
    <row r="17" ht="15" customHeight="1" s="38">
      <c r="A17" s="68" t="inlineStr">
        <is>
          <t>S13</t>
        </is>
      </c>
      <c r="B17" s="68" t="inlineStr">
        <is>
          <t>25-26</t>
        </is>
      </c>
      <c r="C17" s="68" t="inlineStr">
        <is>
          <t>P3</t>
        </is>
      </c>
      <c r="D17" s="69" t="inlineStr">
        <is>
          <t>Ví, ký quỹ, selfie, chat, phát hành nội bộ</t>
        </is>
      </c>
      <c r="E17" s="70" t="inlineStr">
        <is>
          <t>MỐC: 50 tài xế tiên phong chạy thật</t>
        </is>
      </c>
    </row>
    <row r="18" ht="15" customHeight="1" s="38">
      <c r="A18" s="47" t="inlineStr">
        <is>
          <t>S14</t>
        </is>
      </c>
      <c r="B18" s="47" t="inlineStr">
        <is>
          <t>27-28</t>
        </is>
      </c>
      <c r="C18" s="47" t="inlineStr">
        <is>
          <t>P4</t>
        </is>
      </c>
      <c r="D18" s="46" t="inlineStr">
        <is>
          <t>Rider scaffold, đặt xe, ước giá, theo dõi bản đồ</t>
        </is>
      </c>
      <c r="E18" s="46" t="n"/>
    </row>
    <row r="19" ht="15" customHeight="1" s="38">
      <c r="A19" s="47" t="inlineStr">
        <is>
          <t>S15</t>
        </is>
      </c>
      <c r="B19" s="47" t="inlineStr">
        <is>
          <t>29-30</t>
        </is>
      </c>
      <c r="C19" s="47" t="inlineStr">
        <is>
          <t>P4</t>
        </is>
      </c>
      <c r="D19" s="46" t="inlineStr">
        <is>
          <t>QR, thanh toán, chia sẻ hành trình, chat</t>
        </is>
      </c>
      <c r="E19" s="46" t="n"/>
    </row>
    <row r="20" ht="15" customHeight="1" s="38">
      <c r="A20" s="68" t="inlineStr">
        <is>
          <t>S16</t>
        </is>
      </c>
      <c r="B20" s="68" t="inlineStr">
        <is>
          <t>31-32</t>
        </is>
      </c>
      <c r="C20" s="68" t="inlineStr">
        <is>
          <t>P4 → P5</t>
        </is>
      </c>
      <c r="D20" s="69" t="inlineStr">
        <is>
          <t>Hoàn thiện app khách; khởi động thiết kế sổ kép</t>
        </is>
      </c>
      <c r="E20" s="70" t="inlineStr">
        <is>
          <t>MỐC: khách dùng app thật</t>
        </is>
      </c>
    </row>
    <row r="21" ht="15" customHeight="1" s="38">
      <c r="A21" s="47" t="inlineStr">
        <is>
          <t>S17</t>
        </is>
      </c>
      <c r="B21" s="47" t="inlineStr">
        <is>
          <t>33-34</t>
        </is>
      </c>
      <c r="C21" s="47" t="inlineStr">
        <is>
          <t>P5</t>
        </is>
      </c>
      <c r="D21" s="46" t="inlineStr">
        <is>
          <t>Sổ kép: migration + chuyển settlement</t>
        </is>
      </c>
      <c r="E21" s="46" t="n"/>
    </row>
    <row r="22" ht="15" customHeight="1" s="38">
      <c r="A22" s="47" t="inlineStr">
        <is>
          <t>S18</t>
        </is>
      </c>
      <c r="B22" s="47" t="inlineStr">
        <is>
          <t>35-36</t>
        </is>
      </c>
      <c r="C22" s="47" t="inlineStr">
        <is>
          <t>P5</t>
        </is>
      </c>
      <c r="D22" s="46" t="inlineStr">
        <is>
          <t>Payouts, invoices, payment state machine, VNPay thật</t>
        </is>
      </c>
      <c r="E22" s="46" t="n"/>
    </row>
    <row r="23" ht="15" customHeight="1" s="38">
      <c r="A23" s="68" t="inlineStr">
        <is>
          <t>S19</t>
        </is>
      </c>
      <c r="B23" s="68" t="inlineStr">
        <is>
          <t>37-38</t>
        </is>
      </c>
      <c r="C23" s="68" t="inlineStr">
        <is>
          <t>P5</t>
        </is>
      </c>
      <c r="D23" s="69" t="inlineStr">
        <is>
          <t>Console Finance + báo cáo unit economics</t>
        </is>
      </c>
      <c r="E23" s="70" t="inlineStr">
        <is>
          <t>MỐC: sổ sách kiểm toán được</t>
        </is>
      </c>
    </row>
    <row r="24" ht="15" customHeight="1" s="38">
      <c r="A24" s="47" t="inlineStr">
        <is>
          <t>S20</t>
        </is>
      </c>
      <c r="B24" s="47" t="inlineStr">
        <is>
          <t>39-40</t>
        </is>
      </c>
      <c r="C24" s="47" t="inlineStr">
        <is>
          <t>P6</t>
        </is>
      </c>
      <c r="D24" s="46" t="inlineStr">
        <is>
          <t>Partner Portal + API /partner/*</t>
        </is>
      </c>
      <c r="E24" s="46" t="n"/>
    </row>
    <row r="25" ht="15" customHeight="1" s="38">
      <c r="A25" s="68" t="inlineStr">
        <is>
          <t>S21</t>
        </is>
      </c>
      <c r="B25" s="68" t="inlineStr">
        <is>
          <t>41-42</t>
        </is>
      </c>
      <c r="C25" s="68" t="inlineStr">
        <is>
          <t>P6</t>
        </is>
      </c>
      <c r="D25" s="69" t="inlineStr">
        <is>
          <t>CMS + website + API public</t>
        </is>
      </c>
      <c r="E25" s="70" t="inlineStr">
        <is>
          <t>MỐC: goan.vn lên sóng</t>
        </is>
      </c>
    </row>
    <row r="26" ht="15" customHeight="1" s="38">
      <c r="A26" s="47" t="inlineStr">
        <is>
          <t>S22</t>
        </is>
      </c>
      <c r="B26" s="47" t="inlineStr">
        <is>
          <t>43-44</t>
        </is>
      </c>
      <c r="C26" s="47" t="inlineStr">
        <is>
          <t>P7</t>
        </is>
      </c>
      <c r="D26" s="46" t="inlineStr">
        <is>
          <t>Load test, tối ưu, pentest</t>
        </is>
      </c>
      <c r="E26" s="46" t="n"/>
    </row>
    <row r="27" ht="15" customHeight="1" s="38">
      <c r="A27" s="68" t="inlineStr">
        <is>
          <t>S23</t>
        </is>
      </c>
      <c r="B27" s="68" t="inlineStr">
        <is>
          <t>45-46</t>
        </is>
      </c>
      <c r="C27" s="68" t="inlineStr">
        <is>
          <t>P7</t>
        </is>
      </c>
      <c r="D27" s="69" t="inlineStr">
        <is>
          <t>Runbook, tuân thủ NĐ13, nộp store</t>
        </is>
      </c>
      <c r="E27" s="70" t="inlineStr">
        <is>
          <t>MỐC: sẵn sàng mở thành phố thứ 2</t>
        </is>
      </c>
    </row>
    <row r="30" ht="15" customHeight="1" s="38">
      <c r="A30" s="44" t="inlineStr">
        <is>
          <t>LƯU Ý VỀ LỊCH NÀY</t>
        </is>
      </c>
    </row>
    <row r="31" ht="15" customHeight="1" s="38">
      <c r="A31" s="67" t="inlineStr">
        <is>
          <t>• 23 sprint ≈ 46 tuần ≈ 11 tháng. Lịch này giả định các giai đoạn chạy tuần tự cho dễ theo dõi.</t>
        </is>
      </c>
    </row>
    <row r="32" ht="15" customHeight="1" s="38">
      <c r="A32" s="67" t="inlineStr">
        <is>
          <t>• Nếu để 3 luồng (backend / mobile / frontend) chạy song song đúng cách, đường găng rút còn ~17-18 sprint (≈8 tháng) — giới hạn bởi khối lượng backend.</t>
        </is>
      </c>
    </row>
    <row r="33" ht="15" customHeight="1" s="38">
      <c r="A33" s="67" t="inlineStr">
        <is>
          <t>• Hai quyết định rút ngắn lịch nhiều nhất: Tech Lead gánh bớt backend, và tuyển thêm 1 mobile trước S10.</t>
        </is>
      </c>
    </row>
    <row r="34" ht="15" customHeight="1" s="38">
      <c r="A34" s="67" t="inlineStr">
        <is>
          <t>• Chat/Support (S7-S9) đặt trước app là có chủ ý: web MVP còn dùng tạm được cho khách, nhưng không có kênh hỗ trợ thì mọi sự cố phải xử lý qua điện thoại cá nhân.</t>
        </is>
      </c>
    </row>
    <row r="35" ht="15" customHeight="1" s="38">
      <c r="A35" s="67" t="inlineStr">
        <is>
          <t>• P6 (Partner Portal + Website) là phần dễ thuê ngoài nhất nếu muốn rút ngắn lịch.</t>
        </is>
      </c>
    </row>
    <row r="36" ht="15" customHeight="1" s="38">
      <c r="A36" s="67" t="inlineStr">
        <is>
          <t>• Quyết định về nhánh tiền mặt phải chốt TRƯỚC S17, nếu không sẽ phải làm lại tầng sổ kép.</t>
        </is>
      </c>
    </row>
  </sheetData>
  <mergeCells count="8">
    <mergeCell ref="A34:E34"/>
    <mergeCell ref="A35:E35"/>
    <mergeCell ref="A2:E2"/>
    <mergeCell ref="A33:E33"/>
    <mergeCell ref="A1:E1"/>
    <mergeCell ref="A32:E32"/>
    <mergeCell ref="A36:E36"/>
    <mergeCell ref="A31:E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7" customWidth="1" style="37" min="1" max="1"/>
    <col width="40" customWidth="1" style="37" min="2" max="2"/>
    <col width="15" customWidth="1" style="37" min="3" max="4"/>
    <col width="46" customWidth="1" style="37" min="5" max="5"/>
    <col width="52" customWidth="1" style="37" min="6" max="6"/>
    <col width="14" customWidth="1" style="37" min="7" max="7"/>
  </cols>
  <sheetData>
    <row r="1" ht="24" customHeight="1" s="38">
      <c r="A1" s="39" t="inlineStr">
        <is>
          <t>SỔ RỦI RO</t>
        </is>
      </c>
    </row>
    <row r="2" ht="15" customHeight="1" s="38">
      <c r="A2" s="40" t="inlineStr">
        <is>
          <t>Rà soát lại vào cuối mỗi sprint. Rủi ro R1 và R3 cần quyết định của ban lãnh đạo, không phải của đội kỹ thuật.</t>
        </is>
      </c>
    </row>
    <row r="4" ht="31.5" customHeight="1" s="38">
      <c r="A4" s="45" t="inlineStr">
        <is>
          <t>Mã</t>
        </is>
      </c>
      <c r="B4" s="45" t="inlineStr">
        <is>
          <t>Rủi ro</t>
        </is>
      </c>
      <c r="C4" s="45" t="inlineStr">
        <is>
          <t>Khả năng xảy ra</t>
        </is>
      </c>
      <c r="D4" s="45" t="inlineStr">
        <is>
          <t>Mức ảnh hưởng</t>
        </is>
      </c>
      <c r="E4" s="45" t="inlineStr">
        <is>
          <t>Hệ quả nếu xảy ra</t>
        </is>
      </c>
      <c r="F4" s="45" t="inlineStr">
        <is>
          <t>Cách giảm thiểu</t>
        </is>
      </c>
      <c r="G4" s="45" t="inlineStr">
        <is>
          <t>Người chịu trách nhiệm</t>
        </is>
      </c>
    </row>
    <row r="5" ht="32.8" customHeight="1" s="38">
      <c r="A5" s="60" t="inlineStr">
        <is>
          <t>R1</t>
        </is>
      </c>
      <c r="B5" s="59" t="inlineStr">
        <is>
          <t>Tải công việc lệch nặng về Backend — 1 người gánh ~174 ngày công</t>
        </is>
      </c>
      <c r="C5" s="60" t="inlineStr">
        <is>
          <t>Chắc chắn</t>
        </is>
      </c>
      <c r="D5" s="60" t="inlineStr">
        <is>
          <t>Nghiêm trọng</t>
        </is>
      </c>
      <c r="E5" s="59" t="inlineStr">
        <is>
          <t>Theo sheet Đội ngũ: BE cần ~24 sprint (≈11 tháng) một mình, trong khi MOB ~14 và FE ~16. Backend là đường găng thật của dự án, không phải mobile</t>
        </is>
      </c>
      <c r="F5" s="59" t="inlineStr">
        <is>
          <t>Ba lựa chọn: (a) Tech Lead nhận ~40% khối lượng backend, đưa BE về ~17 sprint; (b) tuyển thêm 1 backend từ P2; (c) thuê ngoài P6. Xem lại con số này sau mỗi sprint</t>
        </is>
      </c>
      <c r="G5" s="60" t="inlineStr">
        <is>
          <t>TL</t>
        </is>
      </c>
    </row>
    <row r="6" ht="22.35" customHeight="1" s="38">
      <c r="A6" s="60" t="inlineStr">
        <is>
          <t>R1b</t>
        </is>
      </c>
      <c r="B6" s="59" t="inlineStr">
        <is>
          <t>1 mobile engineer gánh cả app tài xế và app khách</t>
        </is>
      </c>
      <c r="C6" s="60" t="inlineStr">
        <is>
          <t>Rất cao</t>
        </is>
      </c>
      <c r="D6" s="60" t="inlineStr">
        <is>
          <t>Nghiêm trọng</t>
        </is>
      </c>
      <c r="E6" s="59" t="inlineStr">
        <is>
          <t>P3 + P4 khoảng 104 ngày công dồn vào 1 người ≈ 14 sprint liên tục, không có ai thay khi nghỉ ốm hoặc nghỉ việc</t>
        </is>
      </c>
      <c r="F6" s="59" t="inlineStr">
        <is>
          <t>Tuyển thêm 1 mobile trước S10, hoặc chấp nhận app khách lùi 3-4 tháng và dùng web MVP thay thế trong thời gian đó</t>
        </is>
      </c>
      <c r="G6" s="60" t="inlineStr">
        <is>
          <t>TL</t>
        </is>
      </c>
    </row>
    <row r="7" ht="22.35" customHeight="1" s="38">
      <c r="A7" s="60" t="inlineStr">
        <is>
          <t>R2</t>
        </is>
      </c>
      <c r="B7" s="59" t="inlineStr">
        <is>
          <t>GPS nền app tài xế bị hệ điều hành giết</t>
        </is>
      </c>
      <c r="C7" s="60" t="inlineStr">
        <is>
          <t>Cao</t>
        </is>
      </c>
      <c r="D7" s="60" t="inlineStr">
        <is>
          <t>Nghiêm trọng</t>
        </is>
      </c>
      <c r="E7" s="59" t="inlineStr">
        <is>
          <t>Chuyến mất điểm GPS → sai cước, sai đối soát chạy vòng, tài xế khiếu nại</t>
        </is>
      </c>
      <c r="F7" s="59" t="inlineStr">
        <is>
          <t>Làm spike kỹ thuật 3 ngày ngay đầu P3; nếu Expo managed không đạt thì chuyển development build</t>
        </is>
      </c>
      <c r="G7" s="60" t="inlineStr">
        <is>
          <t>MOB</t>
        </is>
      </c>
    </row>
    <row r="8" ht="22.35" customHeight="1" s="38">
      <c r="A8" s="60" t="inlineStr">
        <is>
          <t>R3</t>
        </is>
      </c>
      <c r="B8" s="59" t="inlineStr">
        <is>
          <t>Chưa quyết định có làm nhánh tiền mặt hay không</t>
        </is>
      </c>
      <c r="C8" s="60" t="inlineStr">
        <is>
          <t>Cao</t>
        </is>
      </c>
      <c r="D8" s="60" t="inlineStr">
        <is>
          <t>Nghiêm trọng</t>
        </is>
      </c>
      <c r="E8" s="59" t="inlineStr">
        <is>
          <t>Nếu quyết muộn sau khi đã làm sổ kép thì phải sửa lại toàn bộ tầng ledger</t>
        </is>
      </c>
      <c r="F8" s="59" t="inlineStr">
        <is>
          <t>Chốt trước khi bắt đầu P5. Thị trường lái hộ VN tiền mặt còn lớn nên khả năng cao là phải làm</t>
        </is>
      </c>
      <c r="G8" s="60" t="inlineStr">
        <is>
          <t>TL</t>
        </is>
      </c>
    </row>
    <row r="9" ht="22.35" customHeight="1" s="38">
      <c r="A9" s="60" t="inlineStr">
        <is>
          <t>R4</t>
        </is>
      </c>
      <c r="B9" s="59" t="inlineStr">
        <is>
          <t>Ledger chưa phải double-entry</t>
        </is>
      </c>
      <c r="C9" s="60" t="inlineStr">
        <is>
          <t>Chắc chắn</t>
        </is>
      </c>
      <c r="D9" s="60" t="inlineStr">
        <is>
          <t>Nghiêm trọng</t>
        </is>
      </c>
      <c r="E9" s="59" t="inlineStr">
        <is>
          <t>Không audit được dòng tiền khi gọi vốn Series A; đối soát chỉ phát hiện lệch tổng, không truy được nguyên nhân</t>
        </is>
      </c>
      <c r="F9" s="59" t="inlineStr">
        <is>
          <t>P5 là bắt buộc, không được cắt. Trong lúc chờ, bật cảnh báo khi job đối soát báo balanced = false</t>
        </is>
      </c>
      <c r="G9" s="60" t="inlineStr">
        <is>
          <t>BE</t>
        </is>
      </c>
    </row>
    <row r="10" ht="22.35" customHeight="1" s="38">
      <c r="A10" s="60" t="inlineStr">
        <is>
          <t>R5</t>
        </is>
      </c>
      <c r="B10" s="59" t="inlineStr">
        <is>
          <t>Đội 4 người cho 5 sản phẩm</t>
        </is>
      </c>
      <c r="C10" s="60" t="inlineStr">
        <is>
          <t>Chắc chắn</t>
        </is>
      </c>
      <c r="D10" s="60" t="inlineStr">
        <is>
          <t>Trung bình</t>
        </is>
      </c>
      <c r="E10" s="59" t="inlineStr">
        <is>
          <t>Tổng khối lượng vượt xa năng lực đội trong 6 tháng</t>
        </is>
      </c>
      <c r="F10" s="59" t="inlineStr">
        <is>
          <t>Bám đúng thứ tự phase, không làm song song. Partner Portal và Website (P6) có thể thuê ngoài</t>
        </is>
      </c>
      <c r="G10" s="60" t="inlineStr">
        <is>
          <t>TL</t>
        </is>
      </c>
    </row>
    <row r="11" ht="22.35" customHeight="1" s="38">
      <c r="A11" s="60" t="inlineStr">
        <is>
          <t>R6</t>
        </is>
      </c>
      <c r="B11" s="59" t="inlineStr">
        <is>
          <t>Phụ thuộc bên thứ 3 chưa ký hợp đồng (eKYC, VNPay, hoá đơn điện tử, bản đồ)</t>
        </is>
      </c>
      <c r="C11" s="60" t="inlineStr">
        <is>
          <t>Trung bình</t>
        </is>
      </c>
      <c r="D11" s="60" t="inlineStr">
        <is>
          <t>Nghiêm trọng</t>
        </is>
      </c>
      <c r="E11" s="59" t="inlineStr">
        <is>
          <t>Sandbox và hợp đồng thường mất 4-8 tuần, có thể chặn P3 và P5</t>
        </is>
      </c>
      <c r="F11" s="59" t="inlineStr">
        <is>
          <t>Khởi động đàm phán ngay từ P0, song song với việc code</t>
        </is>
      </c>
      <c r="G11" s="60" t="inlineStr">
        <is>
          <t>TL</t>
        </is>
      </c>
    </row>
    <row r="12" ht="22.35" customHeight="1" s="38">
      <c r="A12" s="60" t="inlineStr">
        <is>
          <t>R7</t>
        </is>
      </c>
      <c r="B12" s="59" t="inlineStr">
        <is>
          <t>CSKH quá tải khi mở rộng</t>
        </is>
      </c>
      <c r="C12" s="60" t="inlineStr">
        <is>
          <t>Trung bình</t>
        </is>
      </c>
      <c r="D12" s="60" t="inlineStr">
        <is>
          <t>Trung bình</t>
        </is>
      </c>
      <c r="E12" s="59" t="inlineStr">
        <is>
          <t>SLA phản hồi đầu vượt ngưỡng, khách bỏ đi</t>
        </is>
      </c>
      <c r="F12" s="59" t="inlineStr">
        <is>
          <t>Bot trả lời câu hỏi thường gặp + canned response ngay trong P2; theo dõi bảng SLA hàng tuần</t>
        </is>
      </c>
      <c r="G12" s="60" t="inlineStr">
        <is>
          <t>FE</t>
        </is>
      </c>
    </row>
    <row r="13" ht="15" customHeight="1" s="38">
      <c r="A13" s="60" t="inlineStr">
        <is>
          <t>R8</t>
        </is>
      </c>
      <c r="B13" s="59" t="inlineStr">
        <is>
          <t>Không có môi trường staging trong giai đoạn đầu</t>
        </is>
      </c>
      <c r="C13" s="60" t="inlineStr">
        <is>
          <t>Cao</t>
        </is>
      </c>
      <c r="D13" s="60" t="inlineStr">
        <is>
          <t>Trung bình</t>
        </is>
      </c>
      <c r="E13" s="59" t="inlineStr">
        <is>
          <t>Test trên production hoặc không test được tích hợp</t>
        </is>
      </c>
      <c r="F13" s="59" t="inlineStr">
        <is>
          <t>Đưa dựng staging lên đầu P0, không lùi</t>
        </is>
      </c>
      <c r="G13" s="60" t="inlineStr">
        <is>
          <t>TL</t>
        </is>
      </c>
    </row>
  </sheetData>
  <mergeCells count="2">
    <mergeCell ref="A2:G2"/>
    <mergeCell ref="A1:G1"/>
  </mergeCells>
  <conditionalFormatting sqref="D5:D13">
    <cfRule type="cellIs" rank="0" priority="2" equalAverage="0" operator="equal" aboveAverage="0" dxfId="14" text="" percent="0" bottom="0">
      <formula>"Nghiêm trọng"</formula>
    </cfRule>
  </conditionalFormatting>
  <conditionalFormatting sqref="C5:C13">
    <cfRule type="cellIs" rank="0" priority="3" equalAverage="0" operator="equal" aboveAverage="0" dxfId="0" text="" percent="0" bottom="0">
      <formula>"Chắc chắn"</formula>
    </cfRule>
    <cfRule type="cellIs" rank="0" priority="4" equalAverage="0" operator="equal" aboveAverage="0" dxfId="0" text="" percent="0" bottom="0">
      <formula>"Rất cao"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7" min="1" max="1"/>
    <col width="11" customWidth="1" style="37" min="2" max="2"/>
    <col width="16" customWidth="1" style="37" min="3" max="3"/>
    <col width="66" customWidth="1" style="37" min="4" max="4"/>
    <col width="54" customWidth="1" style="37" min="5" max="5"/>
  </cols>
  <sheetData>
    <row r="1" ht="24" customHeight="1" s="38">
      <c r="A1" s="39" t="inlineStr">
        <is>
          <t>NHẬT KÝ TRIỂN KHAI</t>
        </is>
      </c>
    </row>
    <row r="2" ht="15" customHeight="1" s="38">
      <c r="A2" s="40" t="inlineStr">
        <is>
          <t>Chỉ ghi việc đã chạy và đã kiểm chứng được, không ghi dự định. Nhánh: chore/p0-foundation</t>
        </is>
      </c>
    </row>
    <row r="4" ht="31.5" customHeight="1" s="38">
      <c r="A4" s="45" t="inlineStr">
        <is>
          <t>Ngày</t>
        </is>
      </c>
      <c r="B4" s="45" t="inlineStr">
        <is>
          <t>Commit</t>
        </is>
      </c>
      <c r="C4" s="45" t="inlineStr">
        <is>
          <t>Hạng mục</t>
        </is>
      </c>
      <c r="D4" s="45" t="inlineStr">
        <is>
          <t>Đã làm gì</t>
        </is>
      </c>
      <c r="E4" s="45" t="inlineStr">
        <is>
          <t>Bằng chứng kiểm chứng</t>
        </is>
      </c>
    </row>
    <row r="5" ht="43.25" customHeight="1" s="38">
      <c r="A5" s="71" t="inlineStr">
        <is>
          <t>03/09/2026</t>
        </is>
      </c>
      <c r="B5" s="72" t="inlineStr">
        <is>
          <t>cc30b41</t>
        </is>
      </c>
      <c r="C5" s="71" t="inlineStr">
        <is>
          <t>Cấu trúc</t>
        </is>
      </c>
      <c r="D5" s="59" t="inlineStr">
        <is>
          <t>Dựng monorepo: goan-backend-spec → services/api, goan-backend → services/_deprecated-api-v0 (kèm DEPRECATED.md), goan-customer-app → apps/customer-web, tài liệu → docs/. Thêm pnpm workspace, turbo, .editorconfig, README</t>
        </is>
      </c>
      <c r="E5" s="59" t="inlineStr">
        <is>
          <t>203 file thay đổi; 51/51 test vẫn xanh sau khi đổi đường dẫn</t>
        </is>
      </c>
    </row>
    <row r="6" ht="22.35" customHeight="1" s="38">
      <c r="A6" s="71" t="inlineStr">
        <is>
          <t>03/09/2026</t>
        </is>
      </c>
      <c r="B6" s="72" t="inlineStr">
        <is>
          <t>cc30b41</t>
        </is>
      </c>
      <c r="C6" s="71" t="inlineStr">
        <is>
          <t>Contract API</t>
        </is>
      </c>
      <c r="D6" s="59" t="inlineStr">
        <is>
          <t>scripts/export_openapi.py xuất OpenAPI; dựng packages/api-client (openapi-typescript + openapi-fetch) làm nguồn contract duy nhất cho mọi frontend</t>
        </is>
      </c>
      <c r="E6" s="59" t="inlineStr">
        <is>
          <t>33 đường dẫn, 54 schema; CI có job so bản sinh mới với openapi.json đã commit</t>
        </is>
      </c>
    </row>
    <row r="7" ht="22.35" customHeight="1" s="38">
      <c r="A7" s="71" t="inlineStr">
        <is>
          <t>03/09/2026</t>
        </is>
      </c>
      <c r="B7" s="72" t="inlineStr">
        <is>
          <t>cc30b41</t>
        </is>
      </c>
      <c r="C7" s="71" t="inlineStr">
        <is>
          <t>Chất lượng</t>
        </is>
      </c>
      <c r="D7" s="59" t="inlineStr">
        <is>
          <t>Cấu hình ruff (E,F,I,UP,B,C4,SIM,ASYNC) + mypy + Makefile; sửa 92 lỗi lint; ruff format toàn bộ services/api</t>
        </is>
      </c>
      <c r="E7" s="59" t="inlineStr">
        <is>
          <t>ruff check sạch, ruff format --check sạch trên 87 file</t>
        </is>
      </c>
    </row>
    <row r="8" ht="32.8" customHeight="1" s="38">
      <c r="A8" s="71" t="inlineStr">
        <is>
          <t>03/09/2026</t>
        </is>
      </c>
      <c r="B8" s="72" t="inlineStr">
        <is>
          <t>cc30b41</t>
        </is>
      </c>
      <c r="C8" s="71" t="inlineStr">
        <is>
          <t>Bảo mật</t>
        </is>
      </c>
      <c r="D8" s="59" t="inlineStr">
        <is>
          <t>Tách /health (liveness, không chạm DB) và /ready (readiness, trả 503). Rate limit đổi sang ZSET cửa sổ trượt + hạn mức riêng cho OTP và tạo chuyến. Access token 60 → 15 phút</t>
        </is>
      </c>
      <c r="E8" s="59" t="inlineStr">
        <is>
          <t>Đọc lại mã: cửa sổ cố định cũ cho gửi gấp đôi hạn mức OTP quanh ranh giới phút</t>
        </is>
      </c>
    </row>
    <row r="9" ht="22.35" customHeight="1" s="38">
      <c r="A9" s="71" t="inlineStr">
        <is>
          <t>03/09/2026</t>
        </is>
      </c>
      <c r="B9" s="72" t="inlineStr">
        <is>
          <t>ea79c35</t>
        </is>
      </c>
      <c r="C9" s="71" t="inlineStr">
        <is>
          <t>Kiểu dữ liệu</t>
        </is>
      </c>
      <c r="D9" s="59" t="inlineStr">
        <is>
          <t>mypy sạch toàn bộ. BUG THẬT #1: complete_trip chỉ kiểm dropoff_lat mà bỏ sót dropoff_lng → haversine_m nhận None</t>
        </is>
      </c>
      <c r="E9" s="59" t="inlineStr">
        <is>
          <t>mypy: Argument 4 to haversine_m has incompatible type float | None</t>
        </is>
      </c>
    </row>
    <row r="10" ht="22.35" customHeight="1" s="38">
      <c r="A10" s="71" t="inlineStr">
        <is>
          <t>03/09/2026</t>
        </is>
      </c>
      <c r="B10" s="72" t="inlineStr">
        <is>
          <t>ea79c35</t>
        </is>
      </c>
      <c r="C10" s="71" t="inlineStr">
        <is>
          <t>Kiểu dữ liệu</t>
        </is>
      </c>
      <c r="D10" s="59" t="inlineStr">
        <is>
          <t>BUG THẬT #2: ensure_utc trả datetime|None nên mọi phép trừ thời gian ở trips/fraud không an toàn kiểu → thêm overload (datetime vào thì datetime ra)</t>
        </is>
      </c>
      <c r="E10" s="59" t="inlineStr">
        <is>
          <t>mypy: No overload variant of __sub__ of datetime matches argument type None (2 chỗ)</t>
        </is>
      </c>
    </row>
    <row r="11" ht="22.35" customHeight="1" s="38">
      <c r="A11" s="71" t="inlineStr">
        <is>
          <t>03/09/2026</t>
        </is>
      </c>
      <c r="B11" s="72" t="inlineStr">
        <is>
          <t>ea79c35</t>
        </is>
      </c>
      <c r="C11" s="71" t="inlineStr">
        <is>
          <t>Kiểu dữ liệu</t>
        </is>
      </c>
      <c r="D11" s="59" t="inlineStr">
        <is>
          <t>BUG THẬT #3: notify_users nhận list bất biến nên caller truyền list[UUID] không khớp list[UUID|str] → đổi sang Sequence</t>
        </is>
      </c>
      <c r="E11" s="59" t="inlineStr">
        <is>
          <t>mypy: Argument 1 to notify_users has incompatible type list[UUID]</t>
        </is>
      </c>
    </row>
    <row r="12" ht="22.35" customHeight="1" s="38">
      <c r="A12" s="71" t="inlineStr">
        <is>
          <t>03/09/2026</t>
        </is>
      </c>
      <c r="B12" s="72" t="inlineStr">
        <is>
          <t>ea79c35</t>
        </is>
      </c>
      <c r="C12" s="71" t="inlineStr">
        <is>
          <t>CI</t>
        </is>
      </c>
      <c r="D12" s="59" t="inlineStr">
        <is>
          <t>Bỏ toàn bộ continue-on-error: mypy, pnpm install --frozen-lockfile, sinh api-client, typecheck và build đều chặn merge thật</t>
        </is>
      </c>
      <c r="E12" s="59" t="inlineStr">
        <is>
          <t>pnpm install xanh (244 gói), pnpm build xanh, @goan/api-client typecheck sạch</t>
        </is>
      </c>
    </row>
    <row r="13" ht="22.35" customHeight="1" s="38">
      <c r="A13" s="71" t="inlineStr">
        <is>
          <t>03/09/2026</t>
        </is>
      </c>
      <c r="B13" s="72" t="inlineStr">
        <is>
          <t>399d8ab</t>
        </is>
      </c>
      <c r="C13" s="71" t="inlineStr">
        <is>
          <t>Bảo mật</t>
        </is>
      </c>
      <c r="D13" s="59" t="inlineStr">
        <is>
          <t>domains/audit: bảng audit_logs + middleware ghi mọi POST/PUT/PATCH/DELETE, che đệ quy 17 trường nhạy cảm, suy ra resource_type/resource_id từ đường dẫn</t>
        </is>
      </c>
      <c r="E13" s="59" t="inlineStr">
        <is>
          <t>19 test QA-AUD, gồm cả test payload lồng 50 tầng không làm treo</t>
        </is>
      </c>
    </row>
    <row r="14" ht="22.35" customHeight="1" s="38">
      <c r="A14" s="71" t="inlineStr">
        <is>
          <t>03/09/2026</t>
        </is>
      </c>
      <c r="B14" s="72" t="inlineStr">
        <is>
          <t>399d8ab</t>
        </is>
      </c>
      <c r="C14" s="71" t="inlineStr">
        <is>
          <t>Bảo mật</t>
        </is>
      </c>
      <c r="D14" s="59" t="inlineStr">
        <is>
          <t>Xoay vòng refresh token theo OAuth 2.0 BCP §4.13: dùng lại token đã tiêu thì thu hồi cả họ token của thiết bị đó. Thêm POST /auth/logout</t>
        </is>
      </c>
      <c r="E14" s="59" t="inlineStr">
        <is>
          <t>9 test QA-AUTH, gồm kịch bản token bị đánh cắp và kịch bản không đá người dùng cũ ra khi deploy</t>
        </is>
      </c>
    </row>
    <row r="15" ht="22.35" customHeight="1" s="38">
      <c r="A15" s="71" t="inlineStr">
        <is>
          <t>03/09/2026</t>
        </is>
      </c>
      <c r="B15" s="72" t="inlineStr">
        <is>
          <t>399d8ab</t>
        </is>
      </c>
      <c r="C15" s="71" t="inlineStr">
        <is>
          <t>Tiền</t>
        </is>
      </c>
      <c r="D15" s="59" t="inlineStr">
        <is>
          <t>core/idempotency: middleware chung cho 5 nhóm endpoint chạm tiền. Gửi trùng phát lại response cũ, bản gốc đang chạy trả 409, chỉ cache kết quả thành công</t>
        </is>
      </c>
      <c r="E15" s="59" t="inlineStr">
        <is>
          <t>16 test QA-IDM chạy qua đúng chuỗi middleware thật</t>
        </is>
      </c>
    </row>
    <row r="16" ht="22.35" customHeight="1" s="38">
      <c r="A16" s="71" t="inlineStr">
        <is>
          <t>03/09/2026</t>
        </is>
      </c>
      <c r="B16" s="72" t="inlineStr">
        <is>
          <t>399d8ab</t>
        </is>
      </c>
      <c r="C16" s="71" t="inlineStr">
        <is>
          <t>Vận hành</t>
        </is>
      </c>
      <c r="D16" s="59" t="inlineStr">
        <is>
          <t>X-Request-ID xuyên log, audit và response header; hook Sentry bật theo DSN, không gửi kèm PII</t>
        </is>
      </c>
      <c r="E16" s="59" t="inlineStr">
        <is>
          <t>8 test QA-RL/QA-OBS, gồm test /health không chạm DB</t>
        </is>
      </c>
    </row>
    <row r="17" ht="22.35" customHeight="1" s="38">
      <c r="A17" s="71" t="inlineStr">
        <is>
          <t>03/09/2026</t>
        </is>
      </c>
      <c r="B17" s="72" t="inlineStr">
        <is>
          <t>399d8ab</t>
        </is>
      </c>
      <c r="C17" s="71" t="inlineStr">
        <is>
          <t>QA</t>
        </is>
      </c>
      <c r="D17" s="59" t="inlineStr">
        <is>
          <t>Dựng vai trò QA: quyền chặn merge/release, DoD 9 điểm, phân loại lỗi 5 mức, ma trận truy vết 58 yêu cầu PRD, mẫu báo lỗi và PR template</t>
        </is>
      </c>
      <c r="E17" s="59" t="inlineStr">
        <is>
          <t>docs/QA/ 4 file; PR template bắt buộc trả lời câu 'test này đỏ khi nào'</t>
        </is>
      </c>
    </row>
    <row r="18" ht="22.35" customHeight="1" s="38">
      <c r="A18" s="71" t="inlineStr">
        <is>
          <t>03/09/2026</t>
        </is>
      </c>
      <c r="B18" s="72" t="inlineStr">
        <is>
          <t>399d8ab</t>
        </is>
      </c>
      <c r="C18" s="71" t="inlineStr">
        <is>
          <t>QA</t>
        </is>
      </c>
      <c r="D18" s="59" t="inlineStr">
        <is>
          <t>Trả 4 khoản nợ kiểm thử: bán kính matching có nới thật, 2 tài xế cùng nhận chỉ 1 người thắng, chuyến quá hạn thoát trạng thái chờ, mã hoá CCCD at-rest</t>
        </is>
      </c>
      <c r="E18" s="59" t="inlineStr">
        <is>
          <t>51 → 129 test, độ phủ 78% → 81%; CI thêm ngưỡng 75% và job riêng cho money/security</t>
        </is>
      </c>
    </row>
    <row r="19" ht="22.35" customHeight="1" s="38">
      <c r="A19" s="71" t="inlineStr">
        <is>
          <t>03/09/2026</t>
        </is>
      </c>
      <c r="B19" s="72" t="inlineStr">
        <is>
          <t>a1813a1</t>
        </is>
      </c>
      <c r="C19" s="71" t="inlineStr">
        <is>
          <t>Bàn giao</t>
        </is>
      </c>
      <c r="D19" s="59" t="inlineStr">
        <is>
          <t>Soạn MERGE_REQUEST.md: ánh xạ PRD, bảng 'test này đỏ khi nào', thay đổi phá vỡ tương thích, rủi ro và cách quay lui</t>
        </is>
      </c>
      <c r="E19" s="59" t="inlineStr">
        <is>
          <t>Nhánh chore/p0-foundation, 5 commit. CHƯA push được: môi trường cầu nối không có thông tin đăng nhập GitHub</t>
        </is>
      </c>
    </row>
    <row r="22" ht="15" customHeight="1" s="38">
      <c r="A22" s="73" t="inlineStr">
        <is>
          <t>ĐÁNH GIÁ BAN ĐẦU ĐÃ ĐƯỢC SỬA LẠI</t>
        </is>
      </c>
    </row>
    <row r="23" ht="15" customHeight="1" s="38">
      <c r="A23" s="56" t="inlineStr">
        <is>
          <t>Ghi lại để lần sau không lặp lại, và để ai đọc bảng này biết con số nào đã thay đổi vì sao.</t>
        </is>
      </c>
    </row>
    <row r="25" ht="31.5" customHeight="1" s="38">
      <c r="A25" s="74" t="inlineStr">
        <is>
          <t>Chủ đề</t>
        </is>
      </c>
      <c r="B25" s="74" t="inlineStr">
        <is>
          <t>Đã nói ban đầu</t>
        </is>
      </c>
      <c r="C25" s="74" t="inlineStr">
        <is>
          <t>Thực tế</t>
        </is>
      </c>
      <c r="D25" s="74" t="inlineStr">
        <is>
          <t>Đã xử lý thế nào</t>
        </is>
      </c>
    </row>
    <row r="26" ht="126.85" customHeight="1" s="38">
      <c r="A26" s="59" t="inlineStr">
        <is>
          <t>Rate limit</t>
        </is>
      </c>
      <c r="B26" s="59" t="inlineStr">
        <is>
          <t>Đánh giá 03/09 sáng: 'RateLimitMiddleware là in-process, sai khi scale ngang'</t>
        </is>
      </c>
      <c r="C26" s="59" t="inlineStr">
        <is>
          <t>SAI. Đọc kỹ mã thì middleware vốn đã dùng Redis. Vấn đề thật nhỏ hơn nhưng vẫn đáng sửa: cửa sổ cố định theo phút cho phép gửi gấp đôi hạn mức quanh ranh giới phút — với endpoint gửi OTP thì mỗi tin là chi phí SMS thật</t>
        </is>
      </c>
      <c r="D26" s="59" t="inlineStr">
        <is>
          <t>Đã sửa cả mã lẫn dòng task tương ứng trong Backlog</t>
        </is>
      </c>
    </row>
    <row r="27" ht="85.05" customHeight="1" s="38">
      <c r="A27" s="59" t="inlineStr">
        <is>
          <t>Đường găng dự án</t>
        </is>
      </c>
      <c r="B27" s="59" t="inlineStr">
        <is>
          <t>Giả định ban đầu: mobile là điểm nghẽn</t>
        </is>
      </c>
      <c r="C27" s="59" t="inlineStr">
        <is>
          <t>Số liệu nói khác: Backend cần ~24 sprint một mình, Mobile ~14, Frontend ~16, Tech Lead chỉ ~9. Backend mới là đường găng</t>
        </is>
      </c>
      <c r="D27" s="59" t="inlineStr">
        <is>
          <t>Đã đổi rủi ro R1 và thêm R1b; xem sheet Rủi ro</t>
        </is>
      </c>
    </row>
    <row r="28" ht="95.5" customHeight="1" s="38">
      <c r="A28" s="59" t="inlineStr">
        <is>
          <t>Môi trường chạy test</t>
        </is>
      </c>
      <c r="B28" s="59" t="inlineStr">
        <is>
          <t>Dự kiến chạy test bằng .venv sẵn có trong repo</t>
        </is>
      </c>
      <c r="C28" s="59" t="inlineStr">
        <is>
          <t>.venv trong repo build cho macOS nên không dùng được từ môi trường Linux của cầu nối; ngoài ra máy chỉ có Python 3.10 trong khi dự án yêu cầu 3.11</t>
        </is>
      </c>
      <c r="D28" s="59" t="inlineStr">
        <is>
          <t>Đã tạo venv riêng ngoài repo để chạy test; giữ timezone.utc thay vì datetime.UTC (tắt luật UP017) để mã còn chạy được trên 3.10</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2026-09-03T03:41:24Z</dcterms:created>
  <dcterms:modified xsi:type="dcterms:W3CDTF">2026-09-04T11:34:34Z</dcterms:modified>
  <cp:revision>0</cp:revision>
</cp:coreProperties>
</file>
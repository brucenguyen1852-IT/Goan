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ướng dẫn" sheetId="1" state="visible" r:id="rId3"/>
    <sheet name="Dashboard" sheetId="2" state="visible" r:id="rId4"/>
    <sheet name="Hiện trạng" sheetId="3" state="visible" r:id="rId5"/>
    <sheet name="Backlog" sheetId="4" state="visible" r:id="rId6"/>
    <sheet name="Lists" sheetId="5" state="visible" r:id="rId7"/>
    <sheet name="Đội ngũ" sheetId="6" state="visible" r:id="rId8"/>
    <sheet name="Sprint" sheetId="7" state="visible" r:id="rId9"/>
    <sheet name="Rủi ro" sheetId="8" state="visible" r:id="rId10"/>
    <sheet name="Nhật ký" sheetId="9" state="visible" r:id="rId11"/>
  </sheets>
  <definedNames>
    <definedName function="false" hidden="true" localSheetId="3" name="_xlnm._FilterDatabase" vbProcedure="false">Backlog!$A$4:$O$129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<sst xmlns="http://schemas.openxmlformats.org/spreadsheetml/2006/main" count="1679" uniqueCount="894">
  <si>
    <t xml:space="preserve">GoAn — Bảng theo dõi dự án (Project Tracker)</t>
  </si>
  <si>
    <t xml:space="preserve">Đội 4 người · 8 giai đoạn · Cập nhật lần cuối 03/09/2026 sau khi triển khai đợt P0 đầu tiên (2 commit)</t>
  </si>
  <si>
    <t xml:space="preserve">CÁC SHEET</t>
  </si>
  <si>
    <t xml:space="preserve">Dashboard</t>
  </si>
  <si>
    <t xml:space="preserve">Tổng hợp tự động theo từng giai đoạn: số task, ngày công, % hoàn thành, số sprint còn lại. Không nhập tay ở đây.</t>
  </si>
  <si>
    <t xml:space="preserve">Hiện trạng</t>
  </si>
  <si>
    <t xml:space="preserve">Đánh giá từng phần của hệ thống hiện tại — căn cứ là mã nguồn đã đọc, không phải phỏng đoán.</t>
  </si>
  <si>
    <t xml:space="preserve">Backlog</t>
  </si>
  <si>
    <t xml:space="preserve">Bảng công việc chính. Đây là nơi DUY NHẤT cần cập nhật hằng ngày.</t>
  </si>
  <si>
    <t xml:space="preserve">Đội ngũ</t>
  </si>
  <si>
    <t xml:space="preserve">4 vai trò, năng lực mỗi sprint, và tải công việc còn lại của từng người.</t>
  </si>
  <si>
    <t xml:space="preserve">Sprint</t>
  </si>
  <si>
    <t xml:space="preserve">Lịch 2 tuần/sprint, mục tiêu từng sprint.</t>
  </si>
  <si>
    <t xml:space="preserve">Rủi ro</t>
  </si>
  <si>
    <t xml:space="preserve">9 rủi ro đã nhận diện, kèm cách giảm thiểu và người chịu trách nhiệm.</t>
  </si>
  <si>
    <t xml:space="preserve">Nhật ký</t>
  </si>
  <si>
    <t xml:space="preserve">Việc đã triển khai thật, kèm mã commit và bằng chứng kiểm chứng. Cả những chỗ đánh giá ban đầu sai và đã được sửa lại.</t>
  </si>
  <si>
    <t xml:space="preserve">Lists</t>
  </si>
  <si>
    <t xml:space="preserve">Danh sách giá trị cho ô chọn. Đừng xoá sheet này.</t>
  </si>
  <si>
    <t xml:space="preserve">CÁCH DÙNG HẰNG NGÀY</t>
  </si>
  <si>
    <t xml:space="preserve">1</t>
  </si>
  <si>
    <t xml:space="preserve">Mỗi ngày, cập nhật 2 cột trong sheet Backlog: 'Trạng thái' và '% hoàn thành'. Mọi thứ khác tự tính.</t>
  </si>
  <si>
    <t xml:space="preserve">2</t>
  </si>
  <si>
    <t xml:space="preserve">Điền cột 'Người làm' khi giao việc (đang để trống theo vai trò).</t>
  </si>
  <si>
    <t xml:space="preserve">3</t>
  </si>
  <si>
    <t xml:space="preserve">Điền cột 'Sprint' khi đưa task vào sprint.</t>
  </si>
  <si>
    <t xml:space="preserve">4</t>
  </si>
  <si>
    <t xml:space="preserve">Đầu mỗi sprint, xem sheet Đội ngũ để biết ai đang quá tải.</t>
  </si>
  <si>
    <t xml:space="preserve">QUY ƯỚC TRẠNG THÁI</t>
  </si>
  <si>
    <t xml:space="preserve">Đã xong</t>
  </si>
  <si>
    <t xml:space="preserve">Đạt đủ 'Định nghĩa hoàn thành' (cột E), đã merge, đã test. Không có 'gần xong'.</t>
  </si>
  <si>
    <t xml:space="preserve">Đang làm</t>
  </si>
  <si>
    <t xml:space="preserve">Có người đang làm. Một người không nên có quá 2 task Đang làm cùng lúc.</t>
  </si>
  <si>
    <t xml:space="preserve">Chưa bắt đầu</t>
  </si>
  <si>
    <t xml:space="preserve">Đã sẵn sàng để nhận.</t>
  </si>
  <si>
    <t xml:space="preserve">Bị chặn</t>
  </si>
  <si>
    <t xml:space="preserve">Không làm tiếp được vì lý do bên ngoài. PHẢI ghi lý do ở cột Ghi chú và đưa ra họp hằng ngày.</t>
  </si>
  <si>
    <t xml:space="preserve">QUY ƯỚC ƯU TIÊN</t>
  </si>
  <si>
    <t xml:space="preserve">P0-Bắt buộc</t>
  </si>
  <si>
    <t xml:space="preserve">Không có thì giai đoạn không đóng được.</t>
  </si>
  <si>
    <t xml:space="preserve">P1-Cao</t>
  </si>
  <si>
    <t xml:space="preserve">Cần cho vận hành thật, có thể lùi 1 sprint.</t>
  </si>
  <si>
    <t xml:space="preserve">P2-Trung bình</t>
  </si>
  <si>
    <t xml:space="preserve">Cải thiện chất lượng, lùi được.</t>
  </si>
  <si>
    <t xml:space="preserve">P3-Thấp</t>
  </si>
  <si>
    <t xml:space="preserve">Làm khi còn thời gian.</t>
  </si>
  <si>
    <t xml:space="preserve">ĐƯA LÊN GOOGLE SHEETS</t>
  </si>
  <si>
    <t xml:space="preserve">Cách 1</t>
  </si>
  <si>
    <t xml:space="preserve">Google Drive → Mới → Tải tệp lên → chọn file .xlsx này → mở bằng Google Sheets. Toàn bộ công thức, định dạng và ô chọn được giữ nguyên.</t>
  </si>
  <si>
    <t xml:space="preserve">Cách 2</t>
  </si>
  <si>
    <t xml:space="preserve">Trong Google Sheets: Tệp → Nhập → Tải lên → 'Thay thế bảng tính'.</t>
  </si>
  <si>
    <t xml:space="preserve">Lưu ý</t>
  </si>
  <si>
    <t xml:space="preserve">Sau khi lên Sheets, nên bật: Dữ liệu → Bộ lọc trên sheet Backlog, và chia sẻ quyền Chỉnh sửa cho cả đội.</t>
  </si>
  <si>
    <t xml:space="preserve">ĐIỀU CẦN BIẾT TRƯỚC KHI ĐỌC SỐ</t>
  </si>
  <si>
    <t xml:space="preserve">Ước tính</t>
  </si>
  <si>
    <t xml:space="preserve">Đơn vị là NGÀY CÔNG (person-day) của một người làm việc tập trung, chưa gồm họp và hỗ trợ.</t>
  </si>
  <si>
    <t xml:space="preserve">Năng lực</t>
  </si>
  <si>
    <t xml:space="preserve">Sprint = 2 tuần = 10 ngày làm việc, nhưng chỉ tính 8 ngày hiệu quả/người (trừ họp, review, sự cố).</t>
  </si>
  <si>
    <t xml:space="preserve">Task đã xong</t>
  </si>
  <si>
    <t xml:space="preserve">Những dòng ghi '[ĐÃ CÓ]' là phần code đã tồn tại và đã được kiểm chứng — để 0 ngày công, chỉ dùng để phản ánh đúng % hoàn thành.</t>
  </si>
  <si>
    <t xml:space="preserve">Điểm nghẽn</t>
  </si>
  <si>
    <t xml:space="preserve">Với 4 người, đường găng là app mobile. Xem sheet Rủi ro, mục R1 — đây là điều cần quyết sớm nhất.</t>
  </si>
  <si>
    <t xml:space="preserve">DASHBOARD — Tình trạng theo từng giai đoạn</t>
  </si>
  <si>
    <t xml:space="preserve">Toàn bộ số liệu tự tính từ sheet Backlog và sheet Đội ngũ. Các giả định tính toán nằm ở cuối sheet này.</t>
  </si>
  <si>
    <t xml:space="preserve">Giai đoạn</t>
  </si>
  <si>
    <t xml:space="preserve">Tổng task</t>
  </si>
  <si>
    <t xml:space="preserve">Tổng ngày công</t>
  </si>
  <si>
    <t xml:space="preserve">Ngày công còn lại</t>
  </si>
  <si>
    <t xml:space="preserve">% hoàn thành</t>
  </si>
  <si>
    <t xml:space="preserve">Số sprint cần (4 người)</t>
  </si>
  <si>
    <t xml:space="preserve">Trạng thái tổng</t>
  </si>
  <si>
    <t xml:space="preserve">P0 - Dọn nền</t>
  </si>
  <si>
    <t xml:space="preserve">P1 - IAM &amp; Console khung</t>
  </si>
  <si>
    <t xml:space="preserve">P2 - Chat &amp; Support</t>
  </si>
  <si>
    <t xml:space="preserve">P3 - Driver App</t>
  </si>
  <si>
    <t xml:space="preserve">P4 - Rider App</t>
  </si>
  <si>
    <t xml:space="preserve">P5 - Ledger &amp; Finance</t>
  </si>
  <si>
    <t xml:space="preserve">P6 - Partner &amp; Website</t>
  </si>
  <si>
    <t xml:space="preserve">P7 - Hardening</t>
  </si>
  <si>
    <t xml:space="preserve">TỔNG DỰ ÁN</t>
  </si>
  <si>
    <t xml:space="preserve">GIẢ ĐỊNH TÍNH TOÁN</t>
  </si>
  <si>
    <t xml:space="preserve">Năng lực đội mỗi sprint (ngày công)</t>
  </si>
  <si>
    <t xml:space="preserve">Tự lấy từ sheet Đội ngũ (tổng cột Năng lực thực). Sửa hệ số sẵn sàng ở sheet đó, số này tự đổi.</t>
  </si>
  <si>
    <t xml:space="preserve">Độ dài sprint (tuần)</t>
  </si>
  <si>
    <t xml:space="preserve">Chuẩn Scrum 2 tuần</t>
  </si>
  <si>
    <t xml:space="preserve">Số người trong đội</t>
  </si>
  <si>
    <t xml:space="preserve">TL, BE, MOB, FE(+QA) — theo lựa chọn đội nhỏ 3-4 người</t>
  </si>
  <si>
    <t xml:space="preserve">Ước tính thời gian còn lại (sprint)</t>
  </si>
  <si>
    <t xml:space="preserve">Ngày công còn lại chia cho năng lực mỗi sprint. Con số lý thuyết — chưa tính phụ thuộc tuần tự giữa các giai đoạn và điểm nghẽn mobile (xem sheet Rủi ro R1).</t>
  </si>
  <si>
    <t xml:space="preserve">Ước tính thời gian còn lại (tuần)</t>
  </si>
  <si>
    <t xml:space="preserve">HIỆN TRẠNG — Đánh giá thực tế từng phần hệ thống</t>
  </si>
  <si>
    <t xml:space="preserve">Căn cứ: rà soát toàn bộ mã nguồn ~7.500 dòng trong repo Goan ngày 03/09/2026, đã chạy thật bộ test (51/51 pass). Không phải ước lượng cảm tính.</t>
  </si>
  <si>
    <t xml:space="preserve">Thành phần hệ thống</t>
  </si>
  <si>
    <t xml:space="preserve">Đánh giá</t>
  </si>
  <si>
    <t xml:space="preserve">Mức hoàn thiện</t>
  </si>
  <si>
    <t xml:space="preserve">Căn cứ (đã đọc mã nguồn)</t>
  </si>
  <si>
    <t xml:space="preserve">Việc còn lại nằm ở đâu</t>
  </si>
  <si>
    <t xml:space="preserve">Backend - Pricing engine</t>
  </si>
  <si>
    <t xml:space="preserve">148 dòng service + 170 dòng test, đúng biểu giá deck (3 khung giờ, phụ thu đón xa 20k)</t>
  </si>
  <si>
    <t xml:space="preserve">Không cần làm lại</t>
  </si>
  <si>
    <t xml:space="preserve">Backend - Trip state machine</t>
  </si>
  <si>
    <t xml:space="preserve">Bảng transition rõ ràng, chặn cứng in_progress chỉ từ qr_verified</t>
  </si>
  <si>
    <t xml:space="preserve">Nền tảng chống đơn ma đã chắc</t>
  </si>
  <si>
    <t xml:space="preserve">Backend - Vòng đời chuyến</t>
  </si>
  <si>
    <t xml:space="preserve">Gần xong</t>
  </si>
  <si>
    <t xml:space="preserve">402 dòng service, chốt cước + escrow + payment trong 1 transaction</t>
  </si>
  <si>
    <t xml:space="preserve">Thiếu: đặt hộ từ Console</t>
  </si>
  <si>
    <t xml:space="preserve">Backend - Matching</t>
  </si>
  <si>
    <t xml:space="preserve">Redis GEO, nới bán kính 5/8/12km, khoá SETNX chống race</t>
  </si>
  <si>
    <t xml:space="preserve">Thiếu: gán thủ công từ Console, trợ cấp vùng mới đã có khung</t>
  </si>
  <si>
    <t xml:space="preserve">Backend - Escrow (ký quỹ)</t>
  </si>
  <si>
    <t xml:space="preserve">Trích 15% payout, không vượt định mức, phạt cho phép âm, hoàn quỹ 45 ngày</t>
  </si>
  <si>
    <t xml:space="preserve">Thiếu: duyệt maker-checker khi hoàn quỹ</t>
  </si>
  <si>
    <t xml:space="preserve">Backend - Anti-fraud</t>
  </si>
  <si>
    <t xml:space="preserve">Đủ 4 cơ chế: đơn ma, chạy vòng (cap 1.5x + phạt x2), thanh toán ngoài app, tráo tài xế</t>
  </si>
  <si>
    <t xml:space="preserve">Thiếu: màn hình xử lý cho Risk analyst</t>
  </si>
  <si>
    <t xml:space="preserve">Backend - Payments</t>
  </si>
  <si>
    <t xml:space="preserve">Một nửa</t>
  </si>
  <si>
    <t xml:space="preserve">Có ví pending/available, rút tiền, đối soát ngày. Nhưng gateway là mock, không double-entry, không payout theo kỳ</t>
  </si>
  <si>
    <t xml:space="preserve">P5 xử lý</t>
  </si>
  <si>
    <t xml:space="preserve">Backend - Partners</t>
  </si>
  <si>
    <t xml:space="preserve">Model + QR + hoa hồng + hoá đơn (mock)</t>
  </si>
  <si>
    <t xml:space="preserve">Thiếu: đăng nhập đối tác, portal</t>
  </si>
  <si>
    <t xml:space="preserve">Backend - WebSocket</t>
  </si>
  <si>
    <t xml:space="preserve">connection_manager + Redis pub/sub + events cơ bản</t>
  </si>
  <si>
    <t xml:space="preserve">Cần mở rộng đa topic cho chat và ops</t>
  </si>
  <si>
    <t xml:space="preserve">Backend - Auth</t>
  </si>
  <si>
    <t xml:space="preserve">OTP + JWT access/refresh chạy được</t>
  </si>
  <si>
    <t xml:space="preserve">Thiếu: xoay vòng refresh, 2FA nội bộ, thu hồi token</t>
  </si>
  <si>
    <t xml:space="preserve">Backend - Chat</t>
  </si>
  <si>
    <t xml:space="preserve">Chưa có</t>
  </si>
  <si>
    <t xml:space="preserve">Không tồn tại trong code</t>
  </si>
  <si>
    <t xml:space="preserve">Toàn bộ P2</t>
  </si>
  <si>
    <t xml:space="preserve">Backend - Support/Ticket</t>
  </si>
  <si>
    <t xml:space="preserve">Backend - IAM nội bộ</t>
  </si>
  <si>
    <t xml:space="preserve">Chỉ có UserRole enum 3 giá trị, không có permission/vai trò/audit</t>
  </si>
  <si>
    <t xml:space="preserve">Toàn bộ P1</t>
  </si>
  <si>
    <t xml:space="preserve">Backend - Tracking (lưu trữ)</t>
  </si>
  <si>
    <t xml:space="preserve">Ghi GPS từng điểm vào DB, có gps-history</t>
  </si>
  <si>
    <t xml:space="preserve">Thiếu: ghi theo lô, nén, chính sách lưu trữ, bản đồ đội</t>
  </si>
  <si>
    <t xml:space="preserve">App khách (goan-customer-app)</t>
  </si>
  <si>
    <t xml:space="preserve">Phải làm lại</t>
  </si>
  <si>
    <t xml:space="preserve">6 trang React chạy được nhưng TOÀN BỘ endpoint gọi sai backend hiện tại; bản đồ là placeholder</t>
  </si>
  <si>
    <t xml:space="preserve">Giữ lại được phần UI, phải viết lại tầng API</t>
  </si>
  <si>
    <t xml:space="preserve">App tài xế</t>
  </si>
  <si>
    <t xml:space="preserve">Không tồn tại</t>
  </si>
  <si>
    <t xml:space="preserve">Toàn bộ P3 — phần rủi ro cao nhất</t>
  </si>
  <si>
    <t xml:space="preserve">Console quản lý</t>
  </si>
  <si>
    <t xml:space="preserve">Không tồn tại (backend đã có sẵn vài API /admin/*)</t>
  </si>
  <si>
    <t xml:space="preserve">P1 + P2 + P5</t>
  </si>
  <si>
    <t xml:space="preserve">Partner Portal</t>
  </si>
  <si>
    <t xml:space="preserve">P6</t>
  </si>
  <si>
    <t xml:space="preserve">Website + CMS</t>
  </si>
  <si>
    <t xml:space="preserve">Hạ tầng CI/CD, staging</t>
  </si>
  <si>
    <t xml:space="preserve">Chỉ có docker-compose cho máy cá nhân</t>
  </si>
  <si>
    <t xml:space="preserve">P0</t>
  </si>
  <si>
    <t xml:space="preserve">Kiểm thử tự động</t>
  </si>
  <si>
    <t xml:space="preserve">51 test backend chạy xanh, nhưng chưa có test frontend/e2e</t>
  </si>
  <si>
    <t xml:space="preserve">Bổ sung dần theo từng phase</t>
  </si>
  <si>
    <t xml:space="preserve">Tài liệu thiết kế</t>
  </si>
  <si>
    <t xml:space="preserve">4 tài liệu: kiến trúc, luồng thanh toán, phân định hệ thống, CLAUDE.md</t>
  </si>
  <si>
    <t xml:space="preserve">Cập nhật khi có quyết định mới</t>
  </si>
  <si>
    <t xml:space="preserve">BACKLOG — Danh sách công việc</t>
  </si>
  <si>
    <t xml:space="preserve">Chỉ cần cập nhật cột K (Trạng thái) và L (% hoàn thành). Cột M tự tính. Cột O ghi căn cứ đánh giá hiện trạng.</t>
  </si>
  <si>
    <t xml:space="preserve">ID</t>
  </si>
  <si>
    <t xml:space="preserve">Nhóm</t>
  </si>
  <si>
    <t xml:space="preserve">Công việc</t>
  </si>
  <si>
    <t xml:space="preserve">Định nghĩa hoàn thành (DoD)</t>
  </si>
  <si>
    <t xml:space="preserve">Vai trò</t>
  </si>
  <si>
    <t xml:space="preserve">Người làm</t>
  </si>
  <si>
    <t xml:space="preserve">Ước tính (ngày)</t>
  </si>
  <si>
    <t xml:space="preserve">Ưu tiên</t>
  </si>
  <si>
    <t xml:space="preserve">Phụ thuộc</t>
  </si>
  <si>
    <t xml:space="preserve">Trạng thái</t>
  </si>
  <si>
    <t xml:space="preserve">Căn cứ đánh giá / Ghi chú</t>
  </si>
  <si>
    <t xml:space="preserve">P0-01</t>
  </si>
  <si>
    <t xml:space="preserve">Repo</t>
  </si>
  <si>
    <t xml:space="preserve">Quyết định &amp; xoá goan-backend (bản nháp cũ)</t>
  </si>
  <si>
    <t xml:space="preserve">Repo chỉ còn 1 backend; README ghi rõ lý do</t>
  </si>
  <si>
    <t xml:space="preserve">TL</t>
  </si>
  <si>
    <t xml:space="preserve">03/09: đã chuyển thành services/_deprecated-api-v0 kèm DEPRECATED.md (bảng so sánh 9 vs 33 endpoint). Chưa xoá hẳn vì apps/customer-web còn viết theo API này — xoá sau khi xong P4-12</t>
  </si>
  <si>
    <t xml:space="preserve">P0-02</t>
  </si>
  <si>
    <t xml:space="preserve">Dựng monorepo pnpm workspace + Turborepo</t>
  </si>
  <si>
    <t xml:space="preserve">pnpm i chạy được ở root; turbo build/lint/test xanh</t>
  </si>
  <si>
    <t xml:space="preserve">03/09 XONG: pnpm-workspace.yaml + turbo.json + .editorconfig + README. pnpm install xanh (244 gói), pnpm-lock.yaml đã commit, pnpm build xanh</t>
  </si>
  <si>
    <t xml:space="preserve">P0-03</t>
  </si>
  <si>
    <t xml:space="preserve">Di chuyển goan-backend-spec → services/api</t>
  </si>
  <si>
    <t xml:space="preserve">CI xanh sau khi đổi đường dẫn; import không gãy</t>
  </si>
  <si>
    <t xml:space="preserve">BE</t>
  </si>
  <si>
    <t xml:space="preserve">Dựng monorepo</t>
  </si>
  <si>
    <t xml:space="preserve">03/09 XONG: 181 file đổi đường dẫn, 51/51 test vẫn xanh. goan-customer-app → apps/customer-web (@goan/customer-web)</t>
  </si>
  <si>
    <t xml:space="preserve">P0-04</t>
  </si>
  <si>
    <t xml:space="preserve">Gom 4 file .md vào docs/</t>
  </si>
  <si>
    <t xml:space="preserve">docs/ có đủ 4 tài liệu, README root trỏ tới</t>
  </si>
  <si>
    <t xml:space="preserve">03/09 XONG: docs/ có 3 tài liệu + file tracker này. README root có bảng dẫn đường</t>
  </si>
  <si>
    <t xml:space="preserve">P0-05</t>
  </si>
  <si>
    <t xml:space="preserve">Backend</t>
  </si>
  <si>
    <t xml:space="preserve">Chuẩn hoá lint/type: ruff + mypy strict cho services/api</t>
  </si>
  <si>
    <t xml:space="preserve">0 lỗi ruff, mypy pass ở mức strict cho domains/</t>
  </si>
  <si>
    <t xml:space="preserve">03/09 XONG: ruff (E,F,I,UP,B,C4,SIM,ASYNC) sạch sau khi sửa 92 lỗi; ruff format toàn bộ; mypy SẠCH 78 file. Sửa được 3 bug tiềm ẩn thật — xem sheet Nhật ký</t>
  </si>
  <si>
    <t xml:space="preserve">P0-06</t>
  </si>
  <si>
    <t xml:space="preserve">Sinh OpenAPI → packages/api-client (TypeScript SDK)</t>
  </si>
  <si>
    <t xml:space="preserve">Chạy 1 lệnh sinh lại SDK; CI đỏ nếu SDK lệch backend</t>
  </si>
  <si>
    <t xml:space="preserve">Di chuyển services/api</t>
  </si>
  <si>
    <t xml:space="preserve">03/09 XONG: export_openapi.py xuất 33 đường dẫn / 54 schema; openapi-typescript sinh schema.d.ts 2.168 dòng; @goan/api-client typecheck sạch; CI có job so sánh chống lệch</t>
  </si>
  <si>
    <t xml:space="preserve">P0-07</t>
  </si>
  <si>
    <t xml:space="preserve">DevOps</t>
  </si>
  <si>
    <t xml:space="preserve">GitHub Actions: lint + typecheck + pytest + build</t>
  </si>
  <si>
    <t xml:space="preserve">PR không merge được khi CI đỏ</t>
  </si>
  <si>
    <t xml:space="preserve">03/09: .github/workflows/ci.yml có 4 job (backend, migration-check, api-contract, frontend), KHÔNG còn continue-on-error nào. Còn lại: push lên GitHub và chạy thật 1 lần để xác nhận</t>
  </si>
  <si>
    <t xml:space="preserve">P0-08</t>
  </si>
  <si>
    <t xml:space="preserve">CI kiểm tra model vs migration (alembic check)</t>
  </si>
  <si>
    <t xml:space="preserve">Sửa model mà quên migration → CI đỏ</t>
  </si>
  <si>
    <t xml:space="preserve">GitHub Actions</t>
  </si>
  <si>
    <t xml:space="preserve">03/09: job migration-check chạy alembic upgrade head + alembic check trên container postgis/postgis:16-3.4. Chưa xác nhận thật vì chưa push</t>
  </si>
  <si>
    <t xml:space="preserve">P0-09</t>
  </si>
  <si>
    <t xml:space="preserve">Docker Compose dev đầy đủ (api, postgres+postgis, redis, celery worker/beat)</t>
  </si>
  <si>
    <t xml:space="preserve">docker compose up chạy được toàn bộ stack</t>
  </si>
  <si>
    <t xml:space="preserve">Đã kiểm chứng: docker-compose.yml + Dockerfile đã có sẵn trong goan-backend-spec</t>
  </si>
  <si>
    <t xml:space="preserve">P0-10</t>
  </si>
  <si>
    <t xml:space="preserve">Dựng môi trường staging (VPS + domain + TLS)</t>
  </si>
  <si>
    <t xml:space="preserve">Deploy tự động từ nhánh main lên staging</t>
  </si>
  <si>
    <t xml:space="preserve">P0-11</t>
  </si>
  <si>
    <t xml:space="preserve">Quản lý secret (SOPS hoặc Doppler), gỡ secret khỏi .env trong repo</t>
  </si>
  <si>
    <t xml:space="preserve">Không còn secret nào trong git; khoá tách theo môi trường</t>
  </si>
  <si>
    <t xml:space="preserve">Hiện .env đang bị gitignore đúng, nhưng chưa có cơ chế quản lý khoá production</t>
  </si>
  <si>
    <t xml:space="preserve">P0-12</t>
  </si>
  <si>
    <t xml:space="preserve">Nâng cấp rate limit: cửa sổ trượt + hạn mức riêng theo endpoint</t>
  </si>
  <si>
    <t xml:space="preserve">Không lách được ở ranh giới phút; OTP có hạn mức riêng</t>
  </si>
  <si>
    <t xml:space="preserve">SỬA ĐÁNH GIÁ TRƯỚC: rate limit vốn ĐÃ dùng Redis, không phải in-process — đánh giá ban đầu sai. Vấn đề thật là cửa sổ cố định theo phút cho gửi gấp đôi hạn mức quanh ranh giới. 03/09 XONG: đổi sang ZSET cửa sổ trượt, thêm hạn mức riêng request-otp 5/5phút, verify-otp 10/5phút, tạo chuyến 20/phút, kèm header X-RateLimit-*</t>
  </si>
  <si>
    <t xml:space="preserve">P0-13</t>
  </si>
  <si>
    <t xml:space="preserve">Middleware Idempotency-Key dùng chung cho mọi POST chạm tiền</t>
  </si>
  <si>
    <t xml:space="preserve">Gửi trùng request không tạo 2 bản ghi; lưu Redis 24h</t>
  </si>
  <si>
    <t xml:space="preserve">Đã có idempotency riêng lẻ ở tạo chuyến + complete, chưa có cơ chế chung</t>
  </si>
  <si>
    <t xml:space="preserve">P0-14</t>
  </si>
  <si>
    <t xml:space="preserve">Xoay vòng refresh token + danh sách thu hồi</t>
  </si>
  <si>
    <t xml:space="preserve">Dùng lại refresh cũ → thu hồi cả họ token</t>
  </si>
  <si>
    <t xml:space="preserve">Hiện chưa có rotation; refresh 30 ngày là rủi ro nếu lộ</t>
  </si>
  <si>
    <t xml:space="preserve">P0-15</t>
  </si>
  <si>
    <t xml:space="preserve">Rút access token 60 phút → 15 phút, client tự refresh</t>
  </si>
  <si>
    <t xml:space="preserve">App không bị đăng xuất đột ngột khi token hết hạn</t>
  </si>
  <si>
    <t xml:space="preserve">Xoay vòng refresh token</t>
  </si>
  <si>
    <t xml:space="preserve">03/09 XONG phía backend (ACCESS_TOKEN_EXPIRE_MINUTES = 15). LƯU Ý: apps/customer-web hiện gặp 401 là đăng xuất luôn — phải làm auto-refresh cùng lúc chuyển sang @goan/api-client (P4-12)</t>
  </si>
  <si>
    <t xml:space="preserve">P0-16</t>
  </si>
  <si>
    <t xml:space="preserve">Sentry + OpenTelemetry trace + Prometheus metrics</t>
  </si>
  <si>
    <t xml:space="preserve">Xem được trace 1 request xuyên suốt; alert lỗi về Slack</t>
  </si>
  <si>
    <t xml:space="preserve">Dựng staging</t>
  </si>
  <si>
    <t xml:space="preserve">Đã có JSON logging, chưa có trace/metrics</t>
  </si>
  <si>
    <t xml:space="preserve">P0-17</t>
  </si>
  <si>
    <t xml:space="preserve">Tách /health (liveness) và /ready (readiness có DB+Redis)</t>
  </si>
  <si>
    <t xml:space="preserve">K8s/LB dùng đúng probe</t>
  </si>
  <si>
    <t xml:space="preserve">03/09 XONG: /health không chạm DB (tránh restart container vô ích khi DB sự cố); /ready kiểm DB+Redis và trả 503 khi chưa sẵn sàng</t>
  </si>
  <si>
    <t xml:space="preserve">P0-18</t>
  </si>
  <si>
    <t xml:space="preserve">Backup PostgreSQL daily + PITR</t>
  </si>
  <si>
    <t xml:space="preserve">Khôi phục thử thành công về 1 thời điểm bất kỳ</t>
  </si>
  <si>
    <t xml:space="preserve">Bắt buộc vì có dữ liệu ký quỹ của tài xế</t>
  </si>
  <si>
    <t xml:space="preserve">P0-19</t>
  </si>
  <si>
    <t xml:space="preserve">Bảng audit_logs + middleware ghi mọi thao tác ghi</t>
  </si>
  <si>
    <t xml:space="preserve">Mọi POST/PATCH/DELETE để lại: ai, IP, payload trước/sau</t>
  </si>
  <si>
    <t xml:space="preserve">P0-20</t>
  </si>
  <si>
    <t xml:space="preserve">[ĐÃ CÓ] Migration khởi tạo 18 bảng lõi</t>
  </si>
  <si>
    <t xml:space="preserve">alembic upgrade head chạy sạch</t>
  </si>
  <si>
    <t xml:space="preserve">Đã kiểm chứng: alembic/versions/0001_initial_schema.py, 18 create_table</t>
  </si>
  <si>
    <t xml:space="preserve">P0-21</t>
  </si>
  <si>
    <t xml:space="preserve">[ĐÃ CÓ] Bộ test tự động 51 test (pricing, escrow, fraud, payments, state machine, luồng chuyến)</t>
  </si>
  <si>
    <t xml:space="preserve">pytest -q xanh, không cần Postgres/Redis</t>
  </si>
  <si>
    <t xml:space="preserve">Đã kiểm chứng: chạy thật, 51 passed in 2.52s</t>
  </si>
  <si>
    <t xml:space="preserve">P0-22</t>
  </si>
  <si>
    <t xml:space="preserve">[ĐÃ CÓ] JSON structured logging + log_event</t>
  </si>
  <si>
    <t xml:space="preserve">Log ra JSON, có event name</t>
  </si>
  <si>
    <t xml:space="preserve">core/logging.py</t>
  </si>
  <si>
    <t xml:space="preserve">P1-01</t>
  </si>
  <si>
    <t xml:space="preserve">domains/iam: staff_users, roles, permissions, role_permissions</t>
  </si>
  <si>
    <t xml:space="preserve">Migration + seed 12 vai trò theo tài liệu phân định</t>
  </si>
  <si>
    <t xml:space="preserve">P0 xong</t>
  </si>
  <si>
    <t xml:space="preserve">Hoàn toàn chưa có — hiện chỉ có UserRole enum 3 giá trị (rider/driver/admin)</t>
  </si>
  <si>
    <t xml:space="preserve">P1-02</t>
  </si>
  <si>
    <t xml:space="preserve">Đăng nhập nội bộ: email + mật khẩu + TOTP 2FA</t>
  </si>
  <si>
    <t xml:space="preserve">Bắt buộc 2FA, phiên 8 giờ, khoá sau 5 lần sai</t>
  </si>
  <si>
    <t xml:space="preserve">domains/iam</t>
  </si>
  <si>
    <t xml:space="preserve">P1-03</t>
  </si>
  <si>
    <t xml:space="preserve">Middleware kiểm permission dạng domain:action:scope</t>
  </si>
  <si>
    <t xml:space="preserve">Thiếu quyền trả 403 kèm mã quyền còn thiếu</t>
  </si>
  <si>
    <t xml:space="preserve">P1-04</t>
  </si>
  <si>
    <t xml:space="preserve">API /ops/staff: CRUD nhân sự, gán vai trò, vô hiệu hoá</t>
  </si>
  <si>
    <t xml:space="preserve">Vô hiệu hoá không xoá (giữ audit trail)</t>
  </si>
  <si>
    <t xml:space="preserve">Middleware permission</t>
  </si>
  <si>
    <t xml:space="preserve">P1-05</t>
  </si>
  <si>
    <t xml:space="preserve">API đọc audit log có lọc/tra cứu</t>
  </si>
  <si>
    <t xml:space="preserve">Lọc theo người, thời gian, đối tượng</t>
  </si>
  <si>
    <t xml:space="preserve">Bảng audit_logs</t>
  </si>
  <si>
    <t xml:space="preserve">P1-06</t>
  </si>
  <si>
    <t xml:space="preserve">Che PII mặc định + endpoint xem đầy đủ bắt buộc nhập lý do</t>
  </si>
  <si>
    <t xml:space="preserve">Mỗi lần xem CCCD/SĐT đầy đủ đều ghi log kèm lý do</t>
  </si>
  <si>
    <t xml:space="preserve">core/security.py đã có mã hoá CCCD at-rest, chưa có lớp che khi hiển thị</t>
  </si>
  <si>
    <t xml:space="preserve">P1-07</t>
  </si>
  <si>
    <t xml:space="preserve">Khung maker-checker (approval_requests) cho thao tác chạm tiền</t>
  </si>
  <si>
    <t xml:space="preserve">Người tạo ≠ người duyệt; quá hạn tự huỷ</t>
  </si>
  <si>
    <t xml:space="preserve">P1-08</t>
  </si>
  <si>
    <t xml:space="preserve">Tách router theo audience: rider/driver/ops/partner/public</t>
  </si>
  <si>
    <t xml:space="preserve">Router cũ vẫn chạy (deprecated), router mới đủ 5 nhóm</t>
  </si>
  <si>
    <t xml:space="preserve">Hiện router gom theo tài nguyên, lẫn vai trò trong cùng file</t>
  </si>
  <si>
    <t xml:space="preserve">P1-09</t>
  </si>
  <si>
    <t xml:space="preserve">API /ops/fleet + WS ops.fleet_update (gom 3s/lần)</t>
  </si>
  <si>
    <t xml:space="preserve">Console thấy toàn bộ tài xế online và chuyến đang chạy</t>
  </si>
  <si>
    <t xml:space="preserve">Tách router</t>
  </si>
  <si>
    <t xml:space="preserve">Redis GEO đã có sẵn — tái dùng được</t>
  </si>
  <si>
    <t xml:space="preserve">P1-10</t>
  </si>
  <si>
    <t xml:space="preserve">API /ops/drivers: duyệt hồ sơ, eKYC, khoá/mở, cảnh cáo</t>
  </si>
  <si>
    <t xml:space="preserve">Duyệt/từ chối có lý do, tài xế nhận thông báo</t>
  </si>
  <si>
    <t xml:space="preserve">P1-11</t>
  </si>
  <si>
    <t xml:space="preserve">API /ops/trips: danh sách, lọc, chi tiết, lịch sử GPS</t>
  </si>
  <si>
    <t xml:space="preserve">Lọc theo trạng thái/khu vực/thời gian, phân trang con trỏ</t>
  </si>
  <si>
    <t xml:space="preserve">gps-history đã có ở phía rider, cần bản cho ops</t>
  </si>
  <si>
    <t xml:space="preserve">P1-12</t>
  </si>
  <si>
    <t xml:space="preserve">Frontend</t>
  </si>
  <si>
    <t xml:space="preserve">Console: scaffold Vite + TS + router + tầng auth + layout</t>
  </si>
  <si>
    <t xml:space="preserve">Đăng nhập, điều hướng, xử lý 401/403 hoàn chỉnh</t>
  </si>
  <si>
    <t xml:space="preserve">FE</t>
  </si>
  <si>
    <t xml:space="preserve">P1-13</t>
  </si>
  <si>
    <t xml:space="preserve">Console: màn hình đăng nhập + 2FA</t>
  </si>
  <si>
    <t xml:space="preserve">Nhập TOTP, ghi nhớ thiết bị 30 ngày</t>
  </si>
  <si>
    <t xml:space="preserve">Console scaffold</t>
  </si>
  <si>
    <t xml:space="preserve">P1-14</t>
  </si>
  <si>
    <t xml:space="preserve">packages/ui: design system web (bảng, form, modal, badge, toast)</t>
  </si>
  <si>
    <t xml:space="preserve">Storybook chạy, dùng lại được ở Partner Portal</t>
  </si>
  <si>
    <t xml:space="preserve">P1-15</t>
  </si>
  <si>
    <t xml:space="preserve">Console: module IAM (nhân sự, vai trò, ma trận quyền, audit log)</t>
  </si>
  <si>
    <t xml:space="preserve">Sửa quyền của vai trò không cần deploy</t>
  </si>
  <si>
    <t xml:space="preserve">API /ops/staff</t>
  </si>
  <si>
    <t xml:space="preserve">P1-16</t>
  </si>
  <si>
    <t xml:space="preserve">Console: Live Ops - bản đồ real-time toàn đội</t>
  </si>
  <si>
    <t xml:space="preserve">Hiện tài xế online + chuyến, lọc, click xem chi tiết</t>
  </si>
  <si>
    <t xml:space="preserve">API /ops/fleet</t>
  </si>
  <si>
    <t xml:space="preserve">P1-17</t>
  </si>
  <si>
    <t xml:space="preserve">Console: Driver Ops - duyệt hồ sơ, xem giấy tờ, khoá/mở</t>
  </si>
  <si>
    <t xml:space="preserve">Duyệt được 1 hồ sơ từ đầu đến cuối</t>
  </si>
  <si>
    <t xml:space="preserve">API /ops/drivers</t>
  </si>
  <si>
    <t xml:space="preserve">P1-18</t>
  </si>
  <si>
    <t xml:space="preserve">Console: danh sách chuyến + chi tiết + tua lại lộ trình</t>
  </si>
  <si>
    <t xml:space="preserve">Xem lại được lộ trình 1 chuyến đã hoàn thành</t>
  </si>
  <si>
    <t xml:space="preserve">API /ops/trips</t>
  </si>
  <si>
    <t xml:space="preserve">P1-19</t>
  </si>
  <si>
    <t xml:space="preserve">QA</t>
  </si>
  <si>
    <t xml:space="preserve">Bộ test case Console + kiểm thử phân quyền theo 12 vai trò</t>
  </si>
  <si>
    <t xml:space="preserve">Mỗi vai trò chỉ thấy đúng phần được phép</t>
  </si>
  <si>
    <t xml:space="preserve">Console IAM</t>
  </si>
  <si>
    <t xml:space="preserve">P2-01</t>
  </si>
  <si>
    <t xml:space="preserve">Data model chat: conversations, members, messages, attachments (+ migration)</t>
  </si>
  <si>
    <t xml:space="preserve">Migration chạy sạch, có đủ chỉ mục theo tài liệu</t>
  </si>
  <si>
    <t xml:space="preserve">P1 xong</t>
  </si>
  <si>
    <t xml:space="preserve">Hoàn toàn chưa có — đây là module mới</t>
  </si>
  <si>
    <t xml:space="preserve">P2-02</t>
  </si>
  <si>
    <t xml:space="preserve">Chat service: gửi/nhận, khử trùng theo client_msg_id</t>
  </si>
  <si>
    <t xml:space="preserve">Gửi lại cùng client_msg_id không tạo tin trùng</t>
  </si>
  <si>
    <t xml:space="preserve">Data model chat</t>
  </si>
  <si>
    <t xml:space="preserve">P2-03</t>
  </si>
  <si>
    <t xml:space="preserve">Phân trang con trỏ + đồng bộ bù sau khi mất kết nối</t>
  </si>
  <si>
    <t xml:space="preserve">Mất mạng 5 phút, nối lại thấy đủ tin đã lỡ</t>
  </si>
  <si>
    <t xml:space="preserve">Chat service</t>
  </si>
  <si>
    <t xml:space="preserve">P2-04</t>
  </si>
  <si>
    <t xml:space="preserve">Đã đọc (read receipt) + đếm tin chưa đọc</t>
  </si>
  <si>
    <t xml:space="preserve">Số chưa đọc đúng trên mọi thiết bị</t>
  </si>
  <si>
    <t xml:space="preserve">P2-05</t>
  </si>
  <si>
    <t xml:space="preserve">Đang gõ (typing) qua WS, không lưu DB</t>
  </si>
  <si>
    <t xml:space="preserve">Hiển thị đúng, tự tắt sau 5s</t>
  </si>
  <si>
    <t xml:space="preserve">P2-06</t>
  </si>
  <si>
    <t xml:space="preserve">Tin hệ thống: CSKH tham gia/rời hội thoại 3 bên</t>
  </si>
  <si>
    <t xml:space="preserve">Khách và tài xế đều thấy thông báo khi agent vào</t>
  </si>
  <si>
    <t xml:space="preserve">Đây là yêu cầu cốt lõi: chat 3 bên CSKH - tài xế - khách</t>
  </si>
  <si>
    <t xml:space="preserve">P2-07</t>
  </si>
  <si>
    <t xml:space="preserve">Tự tạo conversation trip khi matched; Celery tự đóng sau 24h</t>
  </si>
  <si>
    <t xml:space="preserve">Không cần thao tác tay để mở/đóng chat chuyến</t>
  </si>
  <si>
    <t xml:space="preserve">P2-08</t>
  </si>
  <si>
    <t xml:space="preserve">domains/support: ticket, SLA, phân công, escalate, ticket_events</t>
  </si>
  <si>
    <t xml:space="preserve">SLA quá hạn tự escalate lên cs_lead</t>
  </si>
  <si>
    <t xml:space="preserve">P2-09</t>
  </si>
  <si>
    <t xml:space="preserve">Tự phân phối ticket theo agent_presence (slot, đội, lịch sử khách)</t>
  </si>
  <si>
    <t xml:space="preserve">Ticket mới vào đúng agent còn slot</t>
  </si>
  <si>
    <t xml:space="preserve">domains/support</t>
  </si>
  <si>
    <t xml:space="preserve">P2-10</t>
  </si>
  <si>
    <t xml:space="preserve">Canned responses theo đội + gõ tắt</t>
  </si>
  <si>
    <t xml:space="preserve">Agent gõ /hoantien ra mẫu trả lời</t>
  </si>
  <si>
    <t xml:space="preserve">P2-11</t>
  </si>
  <si>
    <t xml:space="preserve">Bộ lọc phát hiện thanh toán ngoài app trong tin nhắn → gắn cờ</t>
  </si>
  <si>
    <t xml:space="preserve">Phát hiện số tài khoản/link ví, KHÔNG chặn tin, đẩy vào hàng đợi risk</t>
  </si>
  <si>
    <t xml:space="preserve">Nối vào fraud_review_queue đã có sẵn</t>
  </si>
  <si>
    <t xml:space="preserve">P2-12</t>
  </si>
  <si>
    <t xml:space="preserve">Upload ảnh: presigned S3, quét virus, giới hạn 5MB</t>
  </si>
  <si>
    <t xml:space="preserve">Ảnh chỉ đọc được qua URL ký hạn 15 phút</t>
  </si>
  <si>
    <t xml:space="preserve">P2-13</t>
  </si>
  <si>
    <t xml:space="preserve">Push FCM khi người nhận offline (chat + offer chuyến)</t>
  </si>
  <si>
    <t xml:space="preserve">Tin nhắn tới máy trong 5 giây khi app đóng</t>
  </si>
  <si>
    <t xml:space="preserve">notifications hiện chỉ đẩy WS, chưa có push thật</t>
  </si>
  <si>
    <t xml:space="preserve">P2-14</t>
  </si>
  <si>
    <t xml:space="preserve">Refactor WS gateway: đa topic (user/conv/ops), ack, auth.expired</t>
  </si>
  <si>
    <t xml:space="preserve">1 kết nối phục vụ chat + tracking + offer</t>
  </si>
  <si>
    <t xml:space="preserve">connection_manager + Redis pub/sub đã có, cần mở rộng topic</t>
  </si>
  <si>
    <t xml:space="preserve">P2-15</t>
  </si>
  <si>
    <t xml:space="preserve">packages/realtime-client: WS client dùng chung (reconnect, ack, hàng đợi)</t>
  </si>
  <si>
    <t xml:space="preserve">Dùng được ở cả web và React Native</t>
  </si>
  <si>
    <t xml:space="preserve">WS gateway</t>
  </si>
  <si>
    <t xml:space="preserve">P2-16</t>
  </si>
  <si>
    <t xml:space="preserve">Console: Support Desk (hàng đợi, khung chat, thông tin khách, ticket)</t>
  </si>
  <si>
    <t xml:space="preserve">Agent xử lý trọn 1 ticket không rời màn hình</t>
  </si>
  <si>
    <t xml:space="preserve">P2-17</t>
  </si>
  <si>
    <t xml:space="preserve">Console: nút tham gia / rời hội thoại 3 bên</t>
  </si>
  <si>
    <t xml:space="preserve">Agent vào chat chuyến, cả 2 bên thấy</t>
  </si>
  <si>
    <t xml:space="preserve">Tin hệ thống 3 bên</t>
  </si>
  <si>
    <t xml:space="preserve">P2-18</t>
  </si>
  <si>
    <t xml:space="preserve">Console: tra cứu lịch sử chat theo khách/tài xế/chuyến</t>
  </si>
  <si>
    <t xml:space="preserve">Tìm được hội thoại cũ phục vụ khiếu nại; mỗi lần xem ghi audit</t>
  </si>
  <si>
    <t xml:space="preserve">P2-19</t>
  </si>
  <si>
    <t xml:space="preserve">Console: bảng SLA &amp; hiệu suất agent</t>
  </si>
  <si>
    <t xml:space="preserve">Thấy phản hồi đầu, thời gian xử lý, tỷ lệ reopen</t>
  </si>
  <si>
    <t xml:space="preserve">P2-20</t>
  </si>
  <si>
    <t xml:space="preserve">Job ẩn danh hoá chat quá hạn lưu trữ (12/24 tháng)</t>
  </si>
  <si>
    <t xml:space="preserve">Celery beat chạy đúng, có log</t>
  </si>
  <si>
    <t xml:space="preserve">P2-21</t>
  </si>
  <si>
    <t xml:space="preserve">Kịch bản: 3 bên, mất mạng giữa chừng, gửi trùng, ảnh, push</t>
  </si>
  <si>
    <t xml:space="preserve">Không mất tin, không trùng tin trong mọi kịch bản</t>
  </si>
  <si>
    <t xml:space="preserve">Console Support Desk</t>
  </si>
  <si>
    <t xml:space="preserve">P3-01</t>
  </si>
  <si>
    <t xml:space="preserve">Mobile</t>
  </si>
  <si>
    <t xml:space="preserve">Expo scaffold: navigation, theme, i18n, cấu hình build</t>
  </si>
  <si>
    <t xml:space="preserve">Chạy được trên máy thật iOS + Android</t>
  </si>
  <si>
    <t xml:space="preserve">MOB</t>
  </si>
  <si>
    <t xml:space="preserve">P2 xong</t>
  </si>
  <si>
    <t xml:space="preserve">Chưa có app tài xế — đây là phần rủi ro kỹ thuật cao nhất dự án</t>
  </si>
  <si>
    <t xml:space="preserve">P3-02</t>
  </si>
  <si>
    <t xml:space="preserve">Auth OTP + lưu token bằng SecureStore + tự refresh</t>
  </si>
  <si>
    <t xml:space="preserve">Không phải đăng nhập lại mỗi ngày</t>
  </si>
  <si>
    <t xml:space="preserve">Expo scaffold</t>
  </si>
  <si>
    <t xml:space="preserve">P3-03</t>
  </si>
  <si>
    <t xml:space="preserve">Onboarding: chụp CCCD/GPLX, upload, theo dõi trạng thái duyệt</t>
  </si>
  <si>
    <t xml:space="preserve">Nộp hồ sơ đến khi được duyệt, thấy lý do nếu bị từ chối</t>
  </si>
  <si>
    <t xml:space="preserve">P3-04</t>
  </si>
  <si>
    <t xml:space="preserve">Tích hợp eKYC thật (VNPT/FPT.AI) thay mock</t>
  </si>
  <si>
    <t xml:space="preserve">Đối chiếu khuôn mặt và hạn GPLX bằng API thật</t>
  </si>
  <si>
    <t xml:space="preserve">integrations/ekyc.py hiện là mock deterministic threshold 0.85</t>
  </si>
  <si>
    <t xml:space="preserve">P3-05</t>
  </si>
  <si>
    <t xml:space="preserve">Màn hình ca làm: online/offline, hiển thị QR động, bản đồ nhiệt</t>
  </si>
  <si>
    <t xml:space="preserve">Bật ca là nhận được offer</t>
  </si>
  <si>
    <t xml:space="preserve">Auth OTP</t>
  </si>
  <si>
    <t xml:space="preserve">API drivers/me/online + heatmap đã có sẵn ở backend</t>
  </si>
  <si>
    <t xml:space="preserve">P3-06</t>
  </si>
  <si>
    <t xml:space="preserve">GPS nền: background task + foreground service (Android) + UIBackgroundModes (iOS)</t>
  </si>
  <si>
    <t xml:space="preserve">Khoá màn hình 30 phút vẫn gửi đủ điểm</t>
  </si>
  <si>
    <t xml:space="preserve">Màn hình ca làm</t>
  </si>
  <si>
    <t xml:space="preserve">RỦI RO CAO: nếu Expo managed không đáp ứng, phải chuyển sang development build</t>
  </si>
  <si>
    <t xml:space="preserve">P3-07</t>
  </si>
  <si>
    <t xml:space="preserve">Hàng đợi ping offline + gửi bù khi có mạng</t>
  </si>
  <si>
    <t xml:space="preserve">Mất mạng 10 phút không mất điểm GPS nào</t>
  </si>
  <si>
    <t xml:space="preserve">GPS nền</t>
  </si>
  <si>
    <t xml:space="preserve">Bắt buộc: GPS thiếu điểm làm sai cước và sai đối soát chạy vòng</t>
  </si>
  <si>
    <t xml:space="preserve">P3-08</t>
  </si>
  <si>
    <t xml:space="preserve">Nhận offer qua WS + push ưu tiên cao khi app bị kill</t>
  </si>
  <si>
    <t xml:space="preserve">Có cuốc là máy kêu trong 5 giây</t>
  </si>
  <si>
    <t xml:space="preserve">Push FCM</t>
  </si>
  <si>
    <t xml:space="preserve">P3-09</t>
  </si>
  <si>
    <t xml:space="preserve">Điều hướng đến điểm đón/đến (Goong hoặc Mapbox SDK)</t>
  </si>
  <si>
    <t xml:space="preserve">Chỉ đường turn-by-turn hoạt động</t>
  </si>
  <si>
    <t xml:space="preserve">Cần chốt nhà cung cấp bản đồ trước khi làm</t>
  </si>
  <si>
    <t xml:space="preserve">P3-10</t>
  </si>
  <si>
    <t xml:space="preserve">Màn hình đang chạy chuyến + xác nhận kết thúc trong bán kính 300m</t>
  </si>
  <si>
    <t xml:space="preserve">Kết thúc chuyến ra đúng cước và số ký quỹ đã trích</t>
  </si>
  <si>
    <t xml:space="preserve">Logic backend đã xong và có test</t>
  </si>
  <si>
    <t xml:space="preserve">P3-11</t>
  </si>
  <si>
    <t xml:space="preserve">Selfie ngẫu nhiên 30-90 phút/phiên</t>
  </si>
  <si>
    <t xml:space="preserve">Không selfie đúng hạn thì không nhận được cuốc mới</t>
  </si>
  <si>
    <t xml:space="preserve">P3-12</t>
  </si>
  <si>
    <t xml:space="preserve">Ví, ký quỹ, lịch sử trích, yêu cầu rút tiền</t>
  </si>
  <si>
    <t xml:space="preserve">Số dư khớp với backend; rút tiền tạo lệnh chờ duyệt</t>
  </si>
  <si>
    <t xml:space="preserve">P3-13</t>
  </si>
  <si>
    <t xml:space="preserve">Chat với khách + với CSKH</t>
  </si>
  <si>
    <t xml:space="preserve">Nhắn được cả khi app ở nền (qua push)</t>
  </si>
  <si>
    <t xml:space="preserve">realtime-client</t>
  </si>
  <si>
    <t xml:space="preserve">P3-14</t>
  </si>
  <si>
    <t xml:space="preserve">Hỗ trợ: mở ticket, xem quyết định xử lý gian lận, khiếu nại phạt</t>
  </si>
  <si>
    <t xml:space="preserve">Tài xế khiếu nại được 1 khoản phạt</t>
  </si>
  <si>
    <t xml:space="preserve">P3-15</t>
  </si>
  <si>
    <t xml:space="preserve">Tối ưu pin: tần suất ping thích ứng 3s/10s/60s</t>
  </si>
  <si>
    <t xml:space="preserve">Chạy ca 8 giờ tiêu hao pin ở mức chấp nhận được</t>
  </si>
  <si>
    <t xml:space="preserve">P3-16</t>
  </si>
  <si>
    <t xml:space="preserve">Hoàn thiện API /driver/* theo bề mặt mới</t>
  </si>
  <si>
    <t xml:space="preserve">App tài xế chỉ gọi /driver/*</t>
  </si>
  <si>
    <t xml:space="preserve">P3-17</t>
  </si>
  <si>
    <t xml:space="preserve">Build &amp; phát hành nội bộ (TestFlight + Play Internal)</t>
  </si>
  <si>
    <t xml:space="preserve">50 tài xế tiên phong cài được</t>
  </si>
  <si>
    <t xml:space="preserve">Các màn hình chính</t>
  </si>
  <si>
    <t xml:space="preserve">P3-18</t>
  </si>
  <si>
    <t xml:space="preserve">Kiểm thử máy thật: mất mạng, khoá màn hình, pin yếu, đổi SIM</t>
  </si>
  <si>
    <t xml:space="preserve">Chạy 20 chuyến thử không lỗi nghiêm trọng</t>
  </si>
  <si>
    <t xml:space="preserve">Build nội bộ</t>
  </si>
  <si>
    <t xml:space="preserve">P4-01</t>
  </si>
  <si>
    <t xml:space="preserve">Expo scaffold app khách (dùng lại packages/ui + realtime-client)</t>
  </si>
  <si>
    <t xml:space="preserve">Chạy trên máy thật, tái dùng ≥50% hạ tầng app tài xế</t>
  </si>
  <si>
    <t xml:space="preserve">P3 xong</t>
  </si>
  <si>
    <t xml:space="preserve">P4-02</t>
  </si>
  <si>
    <t xml:space="preserve">Auth OTP + hồ sơ + người liên hệ khẩn cấp</t>
  </si>
  <si>
    <t xml:space="preserve">Đăng nhập và sửa hồ sơ</t>
  </si>
  <si>
    <t xml:space="preserve">Rider scaffold</t>
  </si>
  <si>
    <t xml:space="preserve">P4-03</t>
  </si>
  <si>
    <t xml:space="preserve">Đặt xe: chọn điểm đón/đến, gợi ý địa chỉ, xem giá ước tính tách khoản</t>
  </si>
  <si>
    <t xml:space="preserve">Thấy rõ phí nền / km / phút / phụ thu đón xa</t>
  </si>
  <si>
    <t xml:space="preserve">API /pricing/estimate đã có và có test đầy đủ</t>
  </si>
  <si>
    <t xml:space="preserve">P4-04</t>
  </si>
  <si>
    <t xml:space="preserve">Theo dõi tài xế real-time + ETA trên bản đồ</t>
  </si>
  <si>
    <t xml:space="preserve">Vị trí cập nhật mượt, mất WS vẫn tự phục hồi</t>
  </si>
  <si>
    <t xml:space="preserve">P4-05</t>
  </si>
  <si>
    <t xml:space="preserve">Quét QR tài xế để bắt đầu chuyến</t>
  </si>
  <si>
    <t xml:space="preserve">Quét sai QR bị từ chối, không đổi trạng thái chuyến</t>
  </si>
  <si>
    <t xml:space="preserve">Logic backend đã xong: in_progress chỉ đến được từ qr_verified</t>
  </si>
  <si>
    <t xml:space="preserve">P4-06</t>
  </si>
  <si>
    <t xml:space="preserve">Thanh toán: liên kết thẻ/ví, chọn phương thức, xem giao dịch</t>
  </si>
  <si>
    <t xml:space="preserve">Thanh toán 1 chuyến thật qua cổng</t>
  </si>
  <si>
    <t xml:space="preserve">Tích hợp VNPay</t>
  </si>
  <si>
    <t xml:space="preserve">P4-07</t>
  </si>
  <si>
    <t xml:space="preserve">Chia sẻ hành trình (link công khai có hạn) + nút SOS</t>
  </si>
  <si>
    <t xml:space="preserve">Người thân mở link thấy vị trí, không thấy SĐT</t>
  </si>
  <si>
    <t xml:space="preserve">API /public/*</t>
  </si>
  <si>
    <t xml:space="preserve">P4-08</t>
  </si>
  <si>
    <t xml:space="preserve">Chat với tài xế + với CSKH</t>
  </si>
  <si>
    <t xml:space="preserve">Nhắn trong chuyến và mở hỗ trợ bất kỳ lúc nào</t>
  </si>
  <si>
    <t xml:space="preserve">P4-09</t>
  </si>
  <si>
    <t xml:space="preserve">Lịch sử chuyến, hoá đơn, đánh giá tài xế</t>
  </si>
  <si>
    <t xml:space="preserve">Xem lại chuyến cũ và tải hoá đơn</t>
  </si>
  <si>
    <t xml:space="preserve">API /rider/*</t>
  </si>
  <si>
    <t xml:space="preserve">P4-10</t>
  </si>
  <si>
    <t xml:space="preserve">Khuyến mãi + deep link QR bàn nhà hàng đối tác</t>
  </si>
  <si>
    <t xml:space="preserve">Quét QR bàn mở app với điểm đón là nhà hàng</t>
  </si>
  <si>
    <t xml:space="preserve">API /partner/*</t>
  </si>
  <si>
    <t xml:space="preserve">Backend đã có GET /partners/qr/{token} và logic gán partner_id</t>
  </si>
  <si>
    <t xml:space="preserve">P4-11</t>
  </si>
  <si>
    <t xml:space="preserve">Hoàn thiện API /rider/* + bổ sung GET /rider/trips (danh sách)</t>
  </si>
  <si>
    <t xml:space="preserve">App khách chỉ gọi /rider/*</t>
  </si>
  <si>
    <t xml:space="preserve">Đã kiểm chứng: endpoint danh sách chuyến hiện KHÔNG tồn tại, FE đang gọi và sẽ 404</t>
  </si>
  <si>
    <t xml:space="preserve">P4-12</t>
  </si>
  <si>
    <t xml:space="preserve">Xử lý goan-customer-app: chuyển thành web đặt xe hoặc gỡ bỏ</t>
  </si>
  <si>
    <t xml:space="preserve">Không còn code trỏ sai endpoint tồn tại trong repo</t>
  </si>
  <si>
    <t xml:space="preserve">packages/api-client</t>
  </si>
  <si>
    <t xml:space="preserve">Đã kiểm chứng: toàn bộ 6 endpoint app này gọi đều không khớp backend hiện tại</t>
  </si>
  <si>
    <t xml:space="preserve">P4-13</t>
  </si>
  <si>
    <t xml:space="preserve">Kiểm thử end-to-end: đặt - ghép - QR - chạy - trả tiền - đánh giá</t>
  </si>
  <si>
    <t xml:space="preserve">10 chuyến thật trôi chảy trên staging</t>
  </si>
  <si>
    <t xml:space="preserve">Rider app các màn hình</t>
  </si>
  <si>
    <t xml:space="preserve">P5-01</t>
  </si>
  <si>
    <t xml:space="preserve">Thiết kế sổ kép: accounts, journal_entries, journal_lines</t>
  </si>
  <si>
    <t xml:space="preserve">Mọi bút toán cân bằng, tổng debit = tổng credit</t>
  </si>
  <si>
    <t xml:space="preserve">Tài liệu thanh toán yêu cầu double-entry; code hiện cập nhật số dư trực tiếp</t>
  </si>
  <si>
    <t xml:space="preserve">P5-02</t>
  </si>
  <si>
    <t xml:space="preserve">Migration + chuyển dữ liệu ví/ký quỹ cũ sang sổ kép</t>
  </si>
  <si>
    <t xml:space="preserve">Số dư sau chuyển khớp 100% số dư cũ</t>
  </si>
  <si>
    <t xml:space="preserve">Thiết kế sổ kép</t>
  </si>
  <si>
    <t xml:space="preserve">P5-03</t>
  </si>
  <si>
    <t xml:space="preserve">Chuyển settlement chuyến sang ghi bút toán kép trong 1 transaction</t>
  </si>
  <si>
    <t xml:space="preserve">Đối soát ngày báo balanced = true</t>
  </si>
  <si>
    <t xml:space="preserve">Migration sổ kép</t>
  </si>
  <si>
    <t xml:space="preserve">P5-04</t>
  </si>
  <si>
    <t xml:space="preserve">Bảng payouts + quy trình chi trả theo kỳ (tuần)</t>
  </si>
  <si>
    <t xml:space="preserve">Tạo batch chi trả, đối chiếu với ngân hàng</t>
  </si>
  <si>
    <t xml:space="preserve">Sổ kép</t>
  </si>
  <si>
    <t xml:space="preserve">Hiện chỉ có rút tiền thủ công qua /wallet/withdraw, chưa có payout theo kỳ</t>
  </si>
  <si>
    <t xml:space="preserve">P5-05</t>
  </si>
  <si>
    <t xml:space="preserve">Bảng invoices + tích hợp hoá đơn điện tử (MISA/VNPT)</t>
  </si>
  <si>
    <t xml:space="preserve">Xuất được hoá đơn VAT thật cho khách B2B</t>
  </si>
  <si>
    <t xml:space="preserve">partners/invoice.py hiện mock số hoá đơn</t>
  </si>
  <si>
    <t xml:space="preserve">P5-06</t>
  </si>
  <si>
    <t xml:space="preserve">Phí huỷ chuyến: ghi bút toán trả cho tài xế</t>
  </si>
  <si>
    <t xml:space="preserve">Tài xế nhận đủ phí huỷ vào ví</t>
  </si>
  <si>
    <t xml:space="preserve">Hiện chỉ ghi trips.cancellation_fee, không có bút toán ví nào</t>
  </si>
  <si>
    <t xml:space="preserve">P5-07</t>
  </si>
  <si>
    <t xml:space="preserve">Làm rõ 4% chưa hạch toán (100 - 58 tài xế - 38 nền tảng)</t>
  </si>
  <si>
    <t xml:space="preserve">Có kết luận bằng văn bản + kiểm tra trong job đối soát</t>
  </si>
  <si>
    <t xml:space="preserve">Đã kiểm chứng trong code: khoản này hiện không vào bút toán nào và đối soát không kiểm</t>
  </si>
  <si>
    <t xml:space="preserve">P5-08</t>
  </si>
  <si>
    <t xml:space="preserve">Payment state machine đầy đủ: pre-auth, capture, retry 3 lần, dispute, refund</t>
  </si>
  <si>
    <t xml:space="preserve">Capture lỗi tự retry, quá 3 lần chuyển debt_pending</t>
  </si>
  <si>
    <t xml:space="preserve">Hiện chỉ 4 trạng thái pending/completed/failed/refunded, không retry</t>
  </si>
  <si>
    <t xml:space="preserve">P5-09</t>
  </si>
  <si>
    <t xml:space="preserve">[TUỲ QUYẾT ĐỊNH] Nhánh tiền mặt + bảng driver_debts</t>
  </si>
  <si>
    <t xml:space="preserve">Tài xế thu tiền mặt, hệ thống ghi nợ hoa hồng, chặn nhận chuyến khi nợ &gt; 300k</t>
  </si>
  <si>
    <t xml:space="preserve">ĐANG CHỜ QUYẾT ĐỊNH: tài liệu thiết kế rất kỹ nhưng code đang tắt hẳn (CASH_DISABLED)</t>
  </si>
  <si>
    <t xml:space="preserve">P5-10</t>
  </si>
  <si>
    <t xml:space="preserve">Tích hợp VNPay thật: ký HMAC, IPN webhook idempotent</t>
  </si>
  <si>
    <t xml:space="preserve">Thanh toán và hoàn tiền thật chạy trên staging</t>
  </si>
  <si>
    <t xml:space="preserve">Payment state machine</t>
  </si>
  <si>
    <t xml:space="preserve">gateway.py: VNPayGateway hiện raise NotImplementedError</t>
  </si>
  <si>
    <t xml:space="preserve">P5-11</t>
  </si>
  <si>
    <t xml:space="preserve">Console: Finance - đối soát ngày, sổ ví/ký quỹ, duyệt rút tiền (maker-checker)</t>
  </si>
  <si>
    <t xml:space="preserve">Kế toán tạo lệnh, trưởng phòng duyệt, có audit</t>
  </si>
  <si>
    <t xml:space="preserve">Khung maker-checker</t>
  </si>
  <si>
    <t xml:space="preserve">P5-12</t>
  </si>
  <si>
    <t xml:space="preserve">Console: báo cáo doanh thu, take-rate thực, unit economics</t>
  </si>
  <si>
    <t xml:space="preserve">Xuất được báo cáo tháng phục vụ gọi vốn</t>
  </si>
  <si>
    <t xml:space="preserve">P5-13</t>
  </si>
  <si>
    <t xml:space="preserve">Đối chiếu số liệu: 100 chuyến mô phỏng, kiểm tra sổ cân bằng</t>
  </si>
  <si>
    <t xml:space="preserve">Chênh lệch = 0 ở mọi kịch bản kể cả huỷ/hoàn/phạt</t>
  </si>
  <si>
    <t xml:space="preserve">Settlement sổ kép</t>
  </si>
  <si>
    <t xml:space="preserve">P6-01</t>
  </si>
  <si>
    <t xml:space="preserve">API /partner/* + đăng nhập đối tác bằng email OTP</t>
  </si>
  <si>
    <t xml:space="preserve">Đối tác chỉ thấy dữ liệu của chính mình</t>
  </si>
  <si>
    <t xml:space="preserve">Model partners đã có, chưa có lớp xác thực riêng cho đối tác</t>
  </si>
  <si>
    <t xml:space="preserve">P6-02</t>
  </si>
  <si>
    <t xml:space="preserve">Partner Portal: scaffold + auth + layout</t>
  </si>
  <si>
    <t xml:space="preserve">Đăng nhập và điều hướng cơ bản</t>
  </si>
  <si>
    <t xml:space="preserve">packages/ui</t>
  </si>
  <si>
    <t xml:space="preserve">P6-03</t>
  </si>
  <si>
    <t xml:space="preserve">Portal: QR bàn/quầy, tạo và in ấn</t>
  </si>
  <si>
    <t xml:space="preserve">Nhà hàng in được bộ QR cho 20 bàn</t>
  </si>
  <si>
    <t xml:space="preserve">P6-04</t>
  </si>
  <si>
    <t xml:space="preserve">Portal: báo cáo hoa hồng, kỳ chi trả, trạng thái</t>
  </si>
  <si>
    <t xml:space="preserve">Đối tác tự đối chiếu được số tiền nhận</t>
  </si>
  <si>
    <t xml:space="preserve">P6-05</t>
  </si>
  <si>
    <t xml:space="preserve">Portal: tải hoá đơn VAT</t>
  </si>
  <si>
    <t xml:space="preserve">Khách sạn tải được hoá đơn PDF</t>
  </si>
  <si>
    <t xml:space="preserve">Bảng invoices</t>
  </si>
  <si>
    <t xml:space="preserve">P6-06</t>
  </si>
  <si>
    <t xml:space="preserve">Console: quản lý đối tác + đối soát chi trả hoa hồng</t>
  </si>
  <si>
    <t xml:space="preserve">Tạo đối tác mới, đặt tỷ lệ hoa hồng, chốt kỳ</t>
  </si>
  <si>
    <t xml:space="preserve">P6-07</t>
  </si>
  <si>
    <t xml:space="preserve">Dựng CMS (Payload self-host, DB riêng) + schema nội dung</t>
  </si>
  <si>
    <t xml:space="preserve">Marketing tự đăng bài không cần dev</t>
  </si>
  <si>
    <t xml:space="preserve">P6-08</t>
  </si>
  <si>
    <t xml:space="preserve">Website Next.js: landing, dịch vụ, bảng giá, blog, tuyển tài xế</t>
  </si>
  <si>
    <t xml:space="preserve">Lên production, điểm Lighthouse ≥ 90</t>
  </si>
  <si>
    <t xml:space="preserve">CMS</t>
  </si>
  <si>
    <t xml:space="preserve">P6-09</t>
  </si>
  <si>
    <t xml:space="preserve">API /public/*: driver-applications, partner-leads, shared trip + CAPTCHA</t>
  </si>
  <si>
    <t xml:space="preserve">Chống spam, rate limit chặt, không cần đăng nhập</t>
  </si>
  <si>
    <t xml:space="preserve">P6-10</t>
  </si>
  <si>
    <t xml:space="preserve">SEO, sitemap, analytics, tối ưu ảnh</t>
  </si>
  <si>
    <t xml:space="preserve">Index được trên Google, có số liệu truy cập</t>
  </si>
  <si>
    <t xml:space="preserve">Website</t>
  </si>
  <si>
    <t xml:space="preserve">P6-11</t>
  </si>
  <si>
    <t xml:space="preserve">Trang chính sách bảo mật, điều khoản (bắt buộc để lên store)</t>
  </si>
  <si>
    <t xml:space="preserve">Có URL công khai để khai báo với App Store/Play</t>
  </si>
  <si>
    <t xml:space="preserve">Bắt buộc theo Nghị định 13/2023 và yêu cầu của 2 store</t>
  </si>
  <si>
    <t xml:space="preserve">P7-01</t>
  </si>
  <si>
    <t xml:space="preserve">Load test: matching và WebSocket 5.000 kết nối đồng thời</t>
  </si>
  <si>
    <t xml:space="preserve">p95 latency đạt ngưỡng đề ra, không rớt kết nối</t>
  </si>
  <si>
    <t xml:space="preserve">P4 xong</t>
  </si>
  <si>
    <t xml:space="preserve">P7-02</t>
  </si>
  <si>
    <t xml:space="preserve">Tối ưu chỉ mục và truy vấn chậm</t>
  </si>
  <si>
    <t xml:space="preserve">Không còn truy vấn &gt; 200ms trong top 20</t>
  </si>
  <si>
    <t xml:space="preserve">Load test</t>
  </si>
  <si>
    <t xml:space="preserve">P7-03</t>
  </si>
  <si>
    <t xml:space="preserve">Runbook sự cố + diễn tập khôi phục từ backup</t>
  </si>
  <si>
    <t xml:space="preserve">Khôi phục thành công trong thời gian cam kết</t>
  </si>
  <si>
    <t xml:space="preserve">Backup PITR</t>
  </si>
  <si>
    <t xml:space="preserve">P7-04</t>
  </si>
  <si>
    <t xml:space="preserve">Pentest bên ngoài + sửa lỗi phát hiện</t>
  </si>
  <si>
    <t xml:space="preserve">Không còn lỗi mức High/Critical</t>
  </si>
  <si>
    <t xml:space="preserve">P5 xong</t>
  </si>
  <si>
    <t xml:space="preserve">P7-05</t>
  </si>
  <si>
    <t xml:space="preserve">Rà soát Nghị định 13/2023: mã hoá PII, chính sách xoá, đồng ý người dùng</t>
  </si>
  <si>
    <t xml:space="preserve">Có bản tự đánh giá tuân thủ</t>
  </si>
  <si>
    <t xml:space="preserve">core/security.py đã mã hoá CCCD at-rest — nền tốt, cần rà soát toàn diện</t>
  </si>
  <si>
    <t xml:space="preserve">P7-06</t>
  </si>
  <si>
    <t xml:space="preserve">Chuẩn bị đa thành phố: cấu hình vùng, bảng giá theo vùng</t>
  </si>
  <si>
    <t xml:space="preserve">Thêm thành phố thứ 2 không cần sửa code</t>
  </si>
  <si>
    <t xml:space="preserve">P7-07</t>
  </si>
  <si>
    <t xml:space="preserve">Tài liệu vận hành + đào tạo đội CSKH và Ops</t>
  </si>
  <si>
    <t xml:space="preserve">CSKH xử lý được ticket không cần hỏi dev</t>
  </si>
  <si>
    <t xml:space="preserve">P7-08</t>
  </si>
  <si>
    <t xml:space="preserve">Nộp store: App Store + Google Play (cả 2 app)</t>
  </si>
  <si>
    <t xml:space="preserve">4 bản app được duyệt</t>
  </si>
  <si>
    <t xml:space="preserve">TỔNG CỘNG</t>
  </si>
  <si>
    <t xml:space="preserve">ĐỘI NGŨ &amp; NĂNG LỰC</t>
  </si>
  <si>
    <t xml:space="preserve">Cột G tự cộng từ Backlog theo vai trò. Cột H cho thấy ai là điểm nghẽn của dự án.</t>
  </si>
  <si>
    <t xml:space="preserve">Mã</t>
  </si>
  <si>
    <t xml:space="preserve">Phạm vi công việc</t>
  </si>
  <si>
    <t xml:space="preserve">Ngày hiệu quả / sprint</t>
  </si>
  <si>
    <t xml:space="preserve">Hệ số sẵn sàng</t>
  </si>
  <si>
    <t xml:space="preserve">Năng lực thực / sprint</t>
  </si>
  <si>
    <t xml:space="preserve">Ngày công còn lại được giao</t>
  </si>
  <si>
    <t xml:space="preserve">Số sprint để làm hết</t>
  </si>
  <si>
    <t xml:space="preserve">Ghi chú</t>
  </si>
  <si>
    <t xml:space="preserve">Tech Lead / Full-stack</t>
  </si>
  <si>
    <t xml:space="preserve">Kiến trúc, backend lõi, DevOps, review code, tài liệu</t>
  </si>
  <si>
    <t xml:space="preserve">Kiêm DevOps nên chỉ ~70% thời gian cho task trong bảng</t>
  </si>
  <si>
    <t xml:space="preserve">Backend Engineer (Python)</t>
  </si>
  <si>
    <t xml:space="preserve">FastAPI, domain services, migration, tích hợp bên thứ 3</t>
  </si>
  <si>
    <t xml:space="preserve">Mobile Engineer (RN/Expo)</t>
  </si>
  <si>
    <t xml:space="preserve">App tài xế + app khách</t>
  </si>
  <si>
    <t xml:space="preserve">ĐIỂM NGHẼN: 1 người gánh cả 2 app — xem sheet Rủi ro</t>
  </si>
  <si>
    <t xml:space="preserve">Frontend Engineer + QA</t>
  </si>
  <si>
    <t xml:space="preserve">Console, Partner Portal, Website, kiểm thử</t>
  </si>
  <si>
    <t xml:space="preserve">Kiêm QA nên tải thực tế cao</t>
  </si>
  <si>
    <t xml:space="preserve">TỔNG</t>
  </si>
  <si>
    <t xml:space="preserve">CÁCH ĐỌC</t>
  </si>
  <si>
    <t xml:space="preserve">• Cột H tô đỏ khi vượt 12 sprint (≈6 tháng) — vai trò đó một mình đã kéo dài dự án quá nửa năm.</t>
  </si>
  <si>
    <t xml:space="preserve">• Ở trạng thái hiện tại, BE là vai trò nặng nhất (≈24 sprint), không phải MOB. Đây là đường găng thật — xem Rủi ro R1.</t>
  </si>
  <si>
    <t xml:space="preserve">• Cách cân tải rẻ nhất: Tech Lead nhận bớt ~40% khối lượng backend (đổi cột Vai trò của các task backend sang TL) và tăng hệ số sẵn sàng của TL.</t>
  </si>
  <si>
    <t xml:space="preserve">• Hệ số sẵn sàng: TL để 70% vì kiêm DevOps và review; các vai trò khác 90% (10% cho họp, hỗ trợ, sự cố).</t>
  </si>
  <si>
    <t xml:space="preserve">• Cột G chỉ tính phần CÒN LẠI (đã trừ % hoàn thành), nên sẽ giảm dần khi đội cập nhật Backlog.</t>
  </si>
  <si>
    <t xml:space="preserve">KẾ HOẠCH SPRINT — 2 tuần/sprint</t>
  </si>
  <si>
    <t xml:space="preserve">Kế hoạch chỉ dẫn, không cứng nhắc. Điều chỉnh sau mỗi buổi họp rút kinh nghiệm cuối sprint.</t>
  </si>
  <si>
    <t xml:space="preserve">Tuần</t>
  </si>
  <si>
    <t xml:space="preserve">Giai đoạn chính</t>
  </si>
  <si>
    <t xml:space="preserve">Mục tiêu sprint (kết quả nhìn thấy được)</t>
  </si>
  <si>
    <t xml:space="preserve">Cột mốc</t>
  </si>
  <si>
    <t xml:space="preserve">S1</t>
  </si>
  <si>
    <t xml:space="preserve">1-2</t>
  </si>
  <si>
    <t xml:space="preserve">Monorepo dựng xong, CI xanh, xoá backend cũ, sinh api-client tự động</t>
  </si>
  <si>
    <t xml:space="preserve">S2</t>
  </si>
  <si>
    <t xml:space="preserve">3-4</t>
  </si>
  <si>
    <t xml:space="preserve">Staging chạy, secret tách khỏi repo, backup PITR, rate limit + idempotency trên Redis</t>
  </si>
  <si>
    <t xml:space="preserve">MỐC: có môi trường staging</t>
  </si>
  <si>
    <t xml:space="preserve">S3</t>
  </si>
  <si>
    <t xml:space="preserve">5-6</t>
  </si>
  <si>
    <t xml:space="preserve">P0 → P1</t>
  </si>
  <si>
    <t xml:space="preserve">Xoay vòng refresh token, audit log, khởi động domains/iam</t>
  </si>
  <si>
    <t xml:space="preserve">S4</t>
  </si>
  <si>
    <t xml:space="preserve">7-8</t>
  </si>
  <si>
    <t xml:space="preserve">P1</t>
  </si>
  <si>
    <t xml:space="preserve">Đăng nhập nội bộ 2FA, permission, khung maker-checker, Console scaffold</t>
  </si>
  <si>
    <t xml:space="preserve">S5</t>
  </si>
  <si>
    <t xml:space="preserve">9-10</t>
  </si>
  <si>
    <t xml:space="preserve">Console: IAM + Driver Ops duyệt hồ sơ</t>
  </si>
  <si>
    <t xml:space="preserve">MỐC: duyệt hồ sơ tài xế không cần vào DB</t>
  </si>
  <si>
    <t xml:space="preserve">S6</t>
  </si>
  <si>
    <t xml:space="preserve">11-12</t>
  </si>
  <si>
    <t xml:space="preserve">Console: Live Ops map + danh sách chuyến + tua lộ trình</t>
  </si>
  <si>
    <t xml:space="preserve">MỐC: Console dùng được cho vận hành</t>
  </si>
  <si>
    <t xml:space="preserve">S7</t>
  </si>
  <si>
    <t xml:space="preserve">13-14</t>
  </si>
  <si>
    <t xml:space="preserve">P2</t>
  </si>
  <si>
    <t xml:space="preserve">Data model chat, chat service, WS gateway đa topic</t>
  </si>
  <si>
    <t xml:space="preserve">S8</t>
  </si>
  <si>
    <t xml:space="preserve">15-16</t>
  </si>
  <si>
    <t xml:space="preserve">domains/support, SLA, phân công, push FCM</t>
  </si>
  <si>
    <t xml:space="preserve">S9</t>
  </si>
  <si>
    <t xml:space="preserve">17-18</t>
  </si>
  <si>
    <t xml:space="preserve">Console Support Desk + chat 3 bên + realtime-client</t>
  </si>
  <si>
    <t xml:space="preserve">MỐC: CSKH chat được với khách và tài xế</t>
  </si>
  <si>
    <t xml:space="preserve">S10</t>
  </si>
  <si>
    <t xml:space="preserve">19-20</t>
  </si>
  <si>
    <t xml:space="preserve">P3</t>
  </si>
  <si>
    <t xml:space="preserve">Expo scaffold + auth + spike GPS nền (ưu tiên số 1)</t>
  </si>
  <si>
    <t xml:space="preserve">QUYẾT ĐỊNH: Expo managed hay development build</t>
  </si>
  <si>
    <t xml:space="preserve">S11</t>
  </si>
  <si>
    <t xml:space="preserve">21-22</t>
  </si>
  <si>
    <t xml:space="preserve">Ca làm, QR động, nhận offer, điều hướng</t>
  </si>
  <si>
    <t xml:space="preserve">S12</t>
  </si>
  <si>
    <t xml:space="preserve">23-24</t>
  </si>
  <si>
    <t xml:space="preserve">GPS nền hoàn chỉnh, hàng đợi offline, tối ưu pin</t>
  </si>
  <si>
    <t xml:space="preserve">S13</t>
  </si>
  <si>
    <t xml:space="preserve">25-26</t>
  </si>
  <si>
    <t xml:space="preserve">Ví, ký quỹ, selfie, chat, phát hành nội bộ</t>
  </si>
  <si>
    <t xml:space="preserve">MỐC: 50 tài xế tiên phong chạy thật</t>
  </si>
  <si>
    <t xml:space="preserve">S14</t>
  </si>
  <si>
    <t xml:space="preserve">27-28</t>
  </si>
  <si>
    <t xml:space="preserve">P4</t>
  </si>
  <si>
    <t xml:space="preserve">Rider scaffold, đặt xe, ước giá, theo dõi bản đồ</t>
  </si>
  <si>
    <t xml:space="preserve">S15</t>
  </si>
  <si>
    <t xml:space="preserve">29-30</t>
  </si>
  <si>
    <t xml:space="preserve">QR, thanh toán, chia sẻ hành trình, chat</t>
  </si>
  <si>
    <t xml:space="preserve">S16</t>
  </si>
  <si>
    <t xml:space="preserve">31-32</t>
  </si>
  <si>
    <t xml:space="preserve">P4 → P5</t>
  </si>
  <si>
    <t xml:space="preserve">Hoàn thiện app khách; khởi động thiết kế sổ kép</t>
  </si>
  <si>
    <t xml:space="preserve">MỐC: khách dùng app thật</t>
  </si>
  <si>
    <t xml:space="preserve">S17</t>
  </si>
  <si>
    <t xml:space="preserve">33-34</t>
  </si>
  <si>
    <t xml:space="preserve">P5</t>
  </si>
  <si>
    <t xml:space="preserve">Sổ kép: migration + chuyển settlement</t>
  </si>
  <si>
    <t xml:space="preserve">S18</t>
  </si>
  <si>
    <t xml:space="preserve">35-36</t>
  </si>
  <si>
    <t xml:space="preserve">Payouts, invoices, payment state machine, VNPay thật</t>
  </si>
  <si>
    <t xml:space="preserve">S19</t>
  </si>
  <si>
    <t xml:space="preserve">37-38</t>
  </si>
  <si>
    <t xml:space="preserve">Console Finance + báo cáo unit economics</t>
  </si>
  <si>
    <t xml:space="preserve">MỐC: sổ sách kiểm toán được</t>
  </si>
  <si>
    <t xml:space="preserve">S20</t>
  </si>
  <si>
    <t xml:space="preserve">39-40</t>
  </si>
  <si>
    <t xml:space="preserve">Partner Portal + API /partner/*</t>
  </si>
  <si>
    <t xml:space="preserve">S21</t>
  </si>
  <si>
    <t xml:space="preserve">41-42</t>
  </si>
  <si>
    <t xml:space="preserve">CMS + website + API public</t>
  </si>
  <si>
    <t xml:space="preserve">MỐC: goan.vn lên sóng</t>
  </si>
  <si>
    <t xml:space="preserve">S22</t>
  </si>
  <si>
    <t xml:space="preserve">43-44</t>
  </si>
  <si>
    <t xml:space="preserve">P7</t>
  </si>
  <si>
    <t xml:space="preserve">Load test, tối ưu, pentest</t>
  </si>
  <si>
    <t xml:space="preserve">S23</t>
  </si>
  <si>
    <t xml:space="preserve">45-46</t>
  </si>
  <si>
    <t xml:space="preserve">Runbook, tuân thủ NĐ13, nộp store</t>
  </si>
  <si>
    <t xml:space="preserve">MỐC: sẵn sàng mở thành phố thứ 2</t>
  </si>
  <si>
    <t xml:space="preserve">LƯU Ý VỀ LỊCH NÀY</t>
  </si>
  <si>
    <t xml:space="preserve">• 23 sprint ≈ 46 tuần ≈ 11 tháng. Lịch này giả định các giai đoạn chạy tuần tự cho dễ theo dõi.</t>
  </si>
  <si>
    <t xml:space="preserve">• Nếu để 3 luồng (backend / mobile / frontend) chạy song song đúng cách, đường găng rút còn ~17-18 sprint (≈8 tháng) — giới hạn bởi khối lượng backend.</t>
  </si>
  <si>
    <t xml:space="preserve">• Hai quyết định rút ngắn lịch nhiều nhất: Tech Lead gánh bớt backend, và tuyển thêm 1 mobile trước S10.</t>
  </si>
  <si>
    <t xml:space="preserve">• Chat/Support (S7-S9) đặt trước app là có chủ ý: web MVP còn dùng tạm được cho khách, nhưng không có kênh hỗ trợ thì mọi sự cố phải xử lý qua điện thoại cá nhân.</t>
  </si>
  <si>
    <t xml:space="preserve">• P6 (Partner Portal + Website) là phần dễ thuê ngoài nhất nếu muốn rút ngắn lịch.</t>
  </si>
  <si>
    <t xml:space="preserve">• Quyết định về nhánh tiền mặt phải chốt TRƯỚC S17, nếu không sẽ phải làm lại tầng sổ kép.</t>
  </si>
  <si>
    <t xml:space="preserve">SỔ RỦI RO</t>
  </si>
  <si>
    <t xml:space="preserve">Rà soát lại vào cuối mỗi sprint. Rủi ro R1 và R3 cần quyết định của ban lãnh đạo, không phải của đội kỹ thuật.</t>
  </si>
  <si>
    <t xml:space="preserve">Khả năng xảy ra</t>
  </si>
  <si>
    <t xml:space="preserve">Mức ảnh hưởng</t>
  </si>
  <si>
    <t xml:space="preserve">Hệ quả nếu xảy ra</t>
  </si>
  <si>
    <t xml:space="preserve">Cách giảm thiểu</t>
  </si>
  <si>
    <t xml:space="preserve">Người chịu trách nhiệm</t>
  </si>
  <si>
    <t xml:space="preserve">R1</t>
  </si>
  <si>
    <t xml:space="preserve">Tải công việc lệch nặng về Backend — 1 người gánh ~174 ngày công</t>
  </si>
  <si>
    <t xml:space="preserve">Chắc chắn</t>
  </si>
  <si>
    <t xml:space="preserve">Nghiêm trọng</t>
  </si>
  <si>
    <t xml:space="preserve">Theo sheet Đội ngũ: BE cần ~24 sprint (≈11 tháng) một mình, trong khi MOB ~14 và FE ~16. Backend là đường găng thật của dự án, không phải mobile</t>
  </si>
  <si>
    <t xml:space="preserve">Ba lựa chọn: (a) Tech Lead nhận ~40% khối lượng backend, đưa BE về ~17 sprint; (b) tuyển thêm 1 backend từ P2; (c) thuê ngoài P6. Xem lại con số này sau mỗi sprint</t>
  </si>
  <si>
    <t xml:space="preserve">R1b</t>
  </si>
  <si>
    <t xml:space="preserve">1 mobile engineer gánh cả app tài xế và app khách</t>
  </si>
  <si>
    <t xml:space="preserve">Rất cao</t>
  </si>
  <si>
    <t xml:space="preserve">P3 + P4 khoảng 104 ngày công dồn vào 1 người ≈ 14 sprint liên tục, không có ai thay khi nghỉ ốm hoặc nghỉ việc</t>
  </si>
  <si>
    <t xml:space="preserve">Tuyển thêm 1 mobile trước S10, hoặc chấp nhận app khách lùi 3-4 tháng và dùng web MVP thay thế trong thời gian đó</t>
  </si>
  <si>
    <t xml:space="preserve">R2</t>
  </si>
  <si>
    <t xml:space="preserve">GPS nền app tài xế bị hệ điều hành giết</t>
  </si>
  <si>
    <t xml:space="preserve">Cao</t>
  </si>
  <si>
    <t xml:space="preserve">Chuyến mất điểm GPS → sai cước, sai đối soát chạy vòng, tài xế khiếu nại</t>
  </si>
  <si>
    <t xml:space="preserve">Làm spike kỹ thuật 3 ngày ngay đầu P3; nếu Expo managed không đạt thì chuyển development build</t>
  </si>
  <si>
    <t xml:space="preserve">R3</t>
  </si>
  <si>
    <t xml:space="preserve">Chưa quyết định có làm nhánh tiền mặt hay không</t>
  </si>
  <si>
    <t xml:space="preserve">Nếu quyết muộn sau khi đã làm sổ kép thì phải sửa lại toàn bộ tầng ledger</t>
  </si>
  <si>
    <t xml:space="preserve">Chốt trước khi bắt đầu P5. Thị trường lái hộ VN tiền mặt còn lớn nên khả năng cao là phải làm</t>
  </si>
  <si>
    <t xml:space="preserve">R4</t>
  </si>
  <si>
    <t xml:space="preserve">Ledger chưa phải double-entry</t>
  </si>
  <si>
    <t xml:space="preserve">Không audit được dòng tiền khi gọi vốn Series A; đối soát chỉ phát hiện lệch tổng, không truy được nguyên nhân</t>
  </si>
  <si>
    <t xml:space="preserve">P5 là bắt buộc, không được cắt. Trong lúc chờ, bật cảnh báo khi job đối soát báo balanced = false</t>
  </si>
  <si>
    <t xml:space="preserve">R5</t>
  </si>
  <si>
    <t xml:space="preserve">Đội 4 người cho 5 sản phẩm</t>
  </si>
  <si>
    <t xml:space="preserve">Trung bình</t>
  </si>
  <si>
    <t xml:space="preserve">Tổng khối lượng vượt xa năng lực đội trong 6 tháng</t>
  </si>
  <si>
    <t xml:space="preserve">Bám đúng thứ tự phase, không làm song song. Partner Portal và Website (P6) có thể thuê ngoài</t>
  </si>
  <si>
    <t xml:space="preserve">R6</t>
  </si>
  <si>
    <t xml:space="preserve">Phụ thuộc bên thứ 3 chưa ký hợp đồng (eKYC, VNPay, hoá đơn điện tử, bản đồ)</t>
  </si>
  <si>
    <t xml:space="preserve">Sandbox và hợp đồng thường mất 4-8 tuần, có thể chặn P3 và P5</t>
  </si>
  <si>
    <t xml:space="preserve">Khởi động đàm phán ngay từ P0, song song với việc code</t>
  </si>
  <si>
    <t xml:space="preserve">R7</t>
  </si>
  <si>
    <t xml:space="preserve">CSKH quá tải khi mở rộng</t>
  </si>
  <si>
    <t xml:space="preserve">SLA phản hồi đầu vượt ngưỡng, khách bỏ đi</t>
  </si>
  <si>
    <t xml:space="preserve">Bot trả lời câu hỏi thường gặp + canned response ngay trong P2; theo dõi bảng SLA hàng tuần</t>
  </si>
  <si>
    <t xml:space="preserve">R8</t>
  </si>
  <si>
    <t xml:space="preserve">Không có môi trường staging trong giai đoạn đầu</t>
  </si>
  <si>
    <t xml:space="preserve">Test trên production hoặc không test được tích hợp</t>
  </si>
  <si>
    <t xml:space="preserve">Đưa dựng staging lên đầu P0, không lùi</t>
  </si>
  <si>
    <t xml:space="preserve">NHẬT KÝ TRIỂN KHAI</t>
  </si>
  <si>
    <t xml:space="preserve">Chỉ ghi việc đã chạy và đã kiểm chứng được, không ghi dự định. Nhánh: chore/p0-foundation</t>
  </si>
  <si>
    <t xml:space="preserve">Ngày</t>
  </si>
  <si>
    <t xml:space="preserve">Commit</t>
  </si>
  <si>
    <t xml:space="preserve">Hạng mục</t>
  </si>
  <si>
    <t xml:space="preserve">Đã làm gì</t>
  </si>
  <si>
    <t xml:space="preserve">Bằng chứng kiểm chứng</t>
  </si>
  <si>
    <t xml:space="preserve">03/09/2026</t>
  </si>
  <si>
    <t xml:space="preserve">cc30b41</t>
  </si>
  <si>
    <t xml:space="preserve">Cấu trúc</t>
  </si>
  <si>
    <t xml:space="preserve">Dựng monorepo: goan-backend-spec → services/api, goan-backend → services/_deprecated-api-v0 (kèm DEPRECATED.md), goan-customer-app → apps/customer-web, tài liệu → docs/. Thêm pnpm workspace, turbo, .editorconfig, README</t>
  </si>
  <si>
    <t xml:space="preserve">203 file thay đổi; 51/51 test vẫn xanh sau khi đổi đường dẫn</t>
  </si>
  <si>
    <t xml:space="preserve">Contract API</t>
  </si>
  <si>
    <t xml:space="preserve">scripts/export_openapi.py xuất OpenAPI; dựng packages/api-client (openapi-typescript + openapi-fetch) làm nguồn contract duy nhất cho mọi frontend</t>
  </si>
  <si>
    <t xml:space="preserve">33 đường dẫn, 54 schema; CI có job so bản sinh mới với openapi.json đã commit</t>
  </si>
  <si>
    <t xml:space="preserve">Chất lượng</t>
  </si>
  <si>
    <t xml:space="preserve">Cấu hình ruff (E,F,I,UP,B,C4,SIM,ASYNC) + mypy + Makefile; sửa 92 lỗi lint; ruff format toàn bộ services/api</t>
  </si>
  <si>
    <t xml:space="preserve">ruff check sạch, ruff format --check sạch trên 87 file</t>
  </si>
  <si>
    <t xml:space="preserve">Bảo mật</t>
  </si>
  <si>
    <t xml:space="preserve">Tách /health (liveness, không chạm DB) và /ready (readiness, trả 503). Rate limit đổi sang ZSET cửa sổ trượt + hạn mức riêng cho OTP và tạo chuyến. Access token 60 → 15 phút</t>
  </si>
  <si>
    <t xml:space="preserve">Đọc lại mã: cửa sổ cố định cũ cho gửi gấp đôi hạn mức OTP quanh ranh giới phút</t>
  </si>
  <si>
    <t xml:space="preserve">ea79c35</t>
  </si>
  <si>
    <t xml:space="preserve">Kiểu dữ liệu</t>
  </si>
  <si>
    <t xml:space="preserve">mypy sạch toàn bộ. BUG THẬT #1: complete_trip chỉ kiểm dropoff_lat mà bỏ sót dropoff_lng → haversine_m nhận None</t>
  </si>
  <si>
    <t xml:space="preserve">mypy: Argument 4 to haversine_m has incompatible type float | None</t>
  </si>
  <si>
    <t xml:space="preserve">BUG THẬT #2: ensure_utc trả datetime|None nên mọi phép trừ thời gian ở trips/fraud không an toàn kiểu → thêm overload (datetime vào thì datetime ra)</t>
  </si>
  <si>
    <t xml:space="preserve">mypy: No overload variant of __sub__ of datetime matches argument type None (2 chỗ)</t>
  </si>
  <si>
    <t xml:space="preserve">BUG THẬT #3: notify_users nhận list bất biến nên caller truyền list[UUID] không khớp list[UUID|str] → đổi sang Sequence</t>
  </si>
  <si>
    <t xml:space="preserve">mypy: Argument 1 to notify_users has incompatible type list[UUID]</t>
  </si>
  <si>
    <t xml:space="preserve">CI</t>
  </si>
  <si>
    <t xml:space="preserve">Bỏ toàn bộ continue-on-error: mypy, pnpm install --frozen-lockfile, sinh api-client, typecheck và build đều chặn merge thật</t>
  </si>
  <si>
    <t xml:space="preserve">pnpm install xanh (244 gói), pnpm build xanh, @goan/api-client typecheck sạch</t>
  </si>
  <si>
    <t xml:space="preserve">ĐÁNH GIÁ BAN ĐẦU ĐÃ ĐƯỢC SỬA LẠI</t>
  </si>
  <si>
    <t xml:space="preserve">Ghi lại để lần sau không lặp lại, và để ai đọc bảng này biết con số nào đã thay đổi vì sao.</t>
  </si>
  <si>
    <t xml:space="preserve">Chủ đề</t>
  </si>
  <si>
    <t xml:space="preserve">Đã nói ban đầu</t>
  </si>
  <si>
    <t xml:space="preserve">Thực tế</t>
  </si>
  <si>
    <t xml:space="preserve">Đã xử lý thế nào</t>
  </si>
  <si>
    <t xml:space="preserve">Rate limit</t>
  </si>
  <si>
    <t xml:space="preserve">Đánh giá 03/09 sáng: 'RateLimitMiddleware là in-process, sai khi scale ngang'</t>
  </si>
  <si>
    <t xml:space="preserve">SAI. Đọc kỹ mã thì middleware vốn đã dùng Redis. Vấn đề thật nhỏ hơn nhưng vẫn đáng sửa: cửa sổ cố định theo phút cho phép gửi gấp đôi hạn mức quanh ranh giới phút — với endpoint gửi OTP thì mỗi tin là chi phí SMS thật</t>
  </si>
  <si>
    <t xml:space="preserve">Đã sửa cả mã lẫn dòng task tương ứng trong Backlog</t>
  </si>
  <si>
    <t xml:space="preserve">Đường găng dự án</t>
  </si>
  <si>
    <t xml:space="preserve">Giả định ban đầu: mobile là điểm nghẽn</t>
  </si>
  <si>
    <t xml:space="preserve">Số liệu nói khác: Backend cần ~24 sprint một mình, Mobile ~14, Frontend ~16, Tech Lead chỉ ~9. Backend mới là đường găng</t>
  </si>
  <si>
    <t xml:space="preserve">Đã đổi rủi ro R1 và thêm R1b; xem sheet Rủi ro</t>
  </si>
  <si>
    <t xml:space="preserve">Môi trường chạy test</t>
  </si>
  <si>
    <t xml:space="preserve">Dự kiến chạy test bằng .venv sẵn có trong repo</t>
  </si>
  <si>
    <t xml:space="preserve">.venv trong repo build cho macOS nên không dùng được từ môi trường Linux của cầu nối; ngoài ra máy chỉ có Python 3.10 trong khi dự án yêu cầu 3.11</t>
  </si>
  <si>
    <t xml:space="preserve">Đã tạo venv riêng ngoài repo để chạy test; giữ timezone.utc thay vì datetime.UTC (tắt luật UP017) để mã còn chạy được trên 3.10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</si>
</sst>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"/>
    <numFmt numFmtId="167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sz val="9"/>
      <name val="Courier New"/>
      <family val="0"/>
      <charset val="1"/>
    </font>
    <font>
      <b val="true"/>
      <sz val="12"/>
      <color rgb="FF9C000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DEDED"/>
      </patternFill>
    </fill>
    <fill>
      <patternFill patternType="solid">
        <fgColor rgb="FF9C0006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  <dxf>
      <font>
        <name val="Arial"/>
        <charset val="1"/>
        <family val="0"/>
        <b val="1"/>
        <color rgb="FF9C0006"/>
        <sz val="9"/>
      </font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95"/>
  </cols>
  <sheetData>
    <row r="1" customFormat="false" ht="24" hidden="false" customHeight="tru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  <c r="B2" s="2"/>
      <c r="C2" s="2"/>
    </row>
    <row r="4" customFormat="false" ht="15" hidden="false" customHeight="false" outlineLevel="0" collapsed="false">
      <c r="B4" s="3"/>
      <c r="C4" s="4"/>
    </row>
    <row r="5" customFormat="false" ht="15" hidden="false" customHeight="false" outlineLevel="0" collapsed="false">
      <c r="A5" s="5"/>
      <c r="B5" s="6" t="s">
        <v>2</v>
      </c>
      <c r="C5" s="5"/>
    </row>
    <row r="6" customFormat="false" ht="15" hidden="false" customHeight="false" outlineLevel="0" collapsed="false">
      <c r="B6" s="3" t="s">
        <v>3</v>
      </c>
      <c r="C6" s="4" t="s">
        <v>4</v>
      </c>
    </row>
    <row r="7" customFormat="false" ht="15" hidden="false" customHeight="false" outlineLevel="0" collapsed="false">
      <c r="B7" s="3" t="s">
        <v>5</v>
      </c>
      <c r="C7" s="4" t="s">
        <v>6</v>
      </c>
    </row>
    <row r="8" customFormat="false" ht="15" hidden="false" customHeight="false" outlineLevel="0" collapsed="false">
      <c r="B8" s="3" t="s">
        <v>7</v>
      </c>
      <c r="C8" s="4" t="s">
        <v>8</v>
      </c>
    </row>
    <row r="9" customFormat="false" ht="15" hidden="false" customHeight="false" outlineLevel="0" collapsed="false">
      <c r="B9" s="3" t="s">
        <v>9</v>
      </c>
      <c r="C9" s="4" t="s">
        <v>10</v>
      </c>
    </row>
    <row r="10" customFormat="false" ht="15" hidden="false" customHeight="false" outlineLevel="0" collapsed="false">
      <c r="B10" s="3" t="s">
        <v>11</v>
      </c>
      <c r="C10" s="4" t="s">
        <v>12</v>
      </c>
    </row>
    <row r="11" customFormat="false" ht="15" hidden="false" customHeight="false" outlineLevel="0" collapsed="false">
      <c r="B11" s="3" t="s">
        <v>13</v>
      </c>
      <c r="C11" s="4" t="s">
        <v>14</v>
      </c>
    </row>
    <row r="12" customFormat="false" ht="23.85" hidden="false" customHeight="false" outlineLevel="0" collapsed="false">
      <c r="B12" s="3" t="s">
        <v>15</v>
      </c>
      <c r="C12" s="4" t="s">
        <v>16</v>
      </c>
    </row>
    <row r="13" customFormat="false" ht="15" hidden="false" customHeight="false" outlineLevel="0" collapsed="false">
      <c r="B13" s="3" t="s">
        <v>17</v>
      </c>
      <c r="C13" s="4" t="s">
        <v>18</v>
      </c>
    </row>
    <row r="14" customFormat="false" ht="15" hidden="false" customHeight="false" outlineLevel="0" collapsed="false">
      <c r="B14" s="3"/>
      <c r="C14" s="4"/>
    </row>
    <row r="15" customFormat="false" ht="15" hidden="false" customHeight="false" outlineLevel="0" collapsed="false">
      <c r="A15" s="5"/>
      <c r="B15" s="6" t="s">
        <v>19</v>
      </c>
      <c r="C15" s="5"/>
    </row>
    <row r="16" customFormat="false" ht="15" hidden="false" customHeight="false" outlineLevel="0" collapsed="false">
      <c r="B16" s="3" t="s">
        <v>20</v>
      </c>
      <c r="C16" s="4" t="s">
        <v>21</v>
      </c>
    </row>
    <row r="17" customFormat="false" ht="15" hidden="false" customHeight="false" outlineLevel="0" collapsed="false">
      <c r="B17" s="3" t="s">
        <v>22</v>
      </c>
      <c r="C17" s="4" t="s">
        <v>23</v>
      </c>
    </row>
    <row r="18" customFormat="false" ht="15" hidden="false" customHeight="false" outlineLevel="0" collapsed="false">
      <c r="B18" s="3" t="s">
        <v>24</v>
      </c>
      <c r="C18" s="4" t="s">
        <v>25</v>
      </c>
    </row>
    <row r="19" customFormat="false" ht="15" hidden="false" customHeight="false" outlineLevel="0" collapsed="false">
      <c r="B19" s="3" t="s">
        <v>26</v>
      </c>
      <c r="C19" s="4" t="s">
        <v>27</v>
      </c>
    </row>
    <row r="20" customFormat="false" ht="15" hidden="false" customHeight="false" outlineLevel="0" collapsed="false">
      <c r="B20" s="3"/>
      <c r="C20" s="4"/>
    </row>
    <row r="21" customFormat="false" ht="15" hidden="false" customHeight="false" outlineLevel="0" collapsed="false">
      <c r="A21" s="5"/>
      <c r="B21" s="6" t="s">
        <v>28</v>
      </c>
      <c r="C21" s="5"/>
    </row>
    <row r="22" customFormat="false" ht="15" hidden="false" customHeight="false" outlineLevel="0" collapsed="false">
      <c r="B22" s="3" t="s">
        <v>29</v>
      </c>
      <c r="C22" s="4" t="s">
        <v>30</v>
      </c>
    </row>
    <row r="23" customFormat="false" ht="15" hidden="false" customHeight="false" outlineLevel="0" collapsed="false">
      <c r="B23" s="3" t="s">
        <v>31</v>
      </c>
      <c r="C23" s="4" t="s">
        <v>32</v>
      </c>
    </row>
    <row r="24" customFormat="false" ht="15" hidden="false" customHeight="false" outlineLevel="0" collapsed="false">
      <c r="B24" s="3" t="s">
        <v>33</v>
      </c>
      <c r="C24" s="4" t="s">
        <v>34</v>
      </c>
    </row>
    <row r="25" customFormat="false" ht="15" hidden="false" customHeight="false" outlineLevel="0" collapsed="false">
      <c r="B25" s="3" t="s">
        <v>35</v>
      </c>
      <c r="C25" s="4" t="s">
        <v>36</v>
      </c>
    </row>
    <row r="26" customFormat="false" ht="15" hidden="false" customHeight="false" outlineLevel="0" collapsed="false">
      <c r="B26" s="3"/>
      <c r="C26" s="4"/>
    </row>
    <row r="27" customFormat="false" ht="15" hidden="false" customHeight="false" outlineLevel="0" collapsed="false">
      <c r="A27" s="5"/>
      <c r="B27" s="6" t="s">
        <v>37</v>
      </c>
      <c r="C27" s="5"/>
    </row>
    <row r="28" customFormat="false" ht="15" hidden="false" customHeight="false" outlineLevel="0" collapsed="false">
      <c r="B28" s="3" t="s">
        <v>38</v>
      </c>
      <c r="C28" s="4" t="s">
        <v>39</v>
      </c>
    </row>
    <row r="29" customFormat="false" ht="15" hidden="false" customHeight="false" outlineLevel="0" collapsed="false">
      <c r="B29" s="3" t="s">
        <v>40</v>
      </c>
      <c r="C29" s="4" t="s">
        <v>41</v>
      </c>
    </row>
    <row r="30" customFormat="false" ht="15" hidden="false" customHeight="false" outlineLevel="0" collapsed="false">
      <c r="B30" s="3" t="s">
        <v>42</v>
      </c>
      <c r="C30" s="4" t="s">
        <v>43</v>
      </c>
    </row>
    <row r="31" customFormat="false" ht="15" hidden="false" customHeight="false" outlineLevel="0" collapsed="false">
      <c r="B31" s="3" t="s">
        <v>44</v>
      </c>
      <c r="C31" s="4" t="s">
        <v>45</v>
      </c>
    </row>
    <row r="32" customFormat="false" ht="15" hidden="false" customHeight="false" outlineLevel="0" collapsed="false">
      <c r="B32" s="3"/>
      <c r="C32" s="4"/>
    </row>
    <row r="33" customFormat="false" ht="15" hidden="false" customHeight="false" outlineLevel="0" collapsed="false">
      <c r="A33" s="5"/>
      <c r="B33" s="6" t="s">
        <v>46</v>
      </c>
      <c r="C33" s="5"/>
    </row>
    <row r="34" customFormat="false" ht="23.85" hidden="false" customHeight="false" outlineLevel="0" collapsed="false">
      <c r="B34" s="3" t="s">
        <v>47</v>
      </c>
      <c r="C34" s="4" t="s">
        <v>48</v>
      </c>
    </row>
    <row r="35" customFormat="false" ht="15" hidden="false" customHeight="false" outlineLevel="0" collapsed="false">
      <c r="B35" s="3" t="s">
        <v>49</v>
      </c>
      <c r="C35" s="4" t="s">
        <v>50</v>
      </c>
    </row>
    <row r="36" customFormat="false" ht="15" hidden="false" customHeight="false" outlineLevel="0" collapsed="false">
      <c r="B36" s="3" t="s">
        <v>51</v>
      </c>
      <c r="C36" s="4" t="s">
        <v>52</v>
      </c>
    </row>
    <row r="37" customFormat="false" ht="15" hidden="false" customHeight="false" outlineLevel="0" collapsed="false">
      <c r="B37" s="3"/>
      <c r="C37" s="4"/>
    </row>
    <row r="38" customFormat="false" ht="15" hidden="false" customHeight="false" outlineLevel="0" collapsed="false">
      <c r="A38" s="5"/>
      <c r="B38" s="6" t="s">
        <v>53</v>
      </c>
      <c r="C38" s="5"/>
    </row>
    <row r="39" customFormat="false" ht="15" hidden="false" customHeight="false" outlineLevel="0" collapsed="false">
      <c r="B39" s="3" t="s">
        <v>54</v>
      </c>
      <c r="C39" s="4" t="s">
        <v>55</v>
      </c>
    </row>
    <row r="40" customFormat="false" ht="15" hidden="false" customHeight="false" outlineLevel="0" collapsed="false">
      <c r="B40" s="3" t="s">
        <v>56</v>
      </c>
      <c r="C40" s="4" t="s">
        <v>57</v>
      </c>
    </row>
    <row r="41" customFormat="false" ht="23.85" hidden="false" customHeight="false" outlineLevel="0" collapsed="false">
      <c r="B41" s="3" t="s">
        <v>58</v>
      </c>
      <c r="C41" s="4" t="s">
        <v>59</v>
      </c>
    </row>
    <row r="42" customFormat="false" ht="15" hidden="false" customHeight="false" outlineLevel="0" collapsed="false">
      <c r="B42" s="3" t="s">
        <v>60</v>
      </c>
      <c r="C42" s="4" t="s">
        <v>61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17"/>
    <col collapsed="false" customWidth="true" hidden="false" outlineLevel="0" max="11" min="11" style="0" width="18"/>
  </cols>
  <sheetData>
    <row r="1" customFormat="false" ht="24" hidden="false" customHeight="true" outlineLevel="0" collapsed="false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63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1.5" hidden="false" customHeight="true" outlineLevel="0" collapsed="false">
      <c r="A4" s="7" t="s">
        <v>64</v>
      </c>
      <c r="B4" s="7" t="s">
        <v>65</v>
      </c>
      <c r="C4" s="7" t="s">
        <v>29</v>
      </c>
      <c r="D4" s="7" t="s">
        <v>31</v>
      </c>
      <c r="E4" s="7" t="s">
        <v>33</v>
      </c>
      <c r="F4" s="7" t="s">
        <v>35</v>
      </c>
      <c r="G4" s="7" t="s">
        <v>66</v>
      </c>
      <c r="H4" s="7" t="s">
        <v>67</v>
      </c>
      <c r="I4" s="7" t="s">
        <v>68</v>
      </c>
      <c r="J4" s="7" t="s">
        <v>69</v>
      </c>
      <c r="K4" s="7" t="s">
        <v>70</v>
      </c>
    </row>
    <row r="5" customFormat="false" ht="15" hidden="false" customHeight="false" outlineLevel="0" collapsed="false">
      <c r="A5" s="8" t="s">
        <v>71</v>
      </c>
      <c r="B5" s="9" t="n">
        <f aca="false">COUNTIFS(Backlog!$B$5:$B$129,$A5)</f>
        <v>22</v>
      </c>
      <c r="C5" s="9" t="n">
        <f aca="false">COUNTIFS(Backlog!$B$5:$B$129,$A5,Backlog!$K$5:$K$129,"Đã xong")</f>
        <v>11</v>
      </c>
      <c r="D5" s="9" t="n">
        <f aca="false">COUNTIFS(Backlog!$B$5:$B$129,$A5,Backlog!$K$5:$K$129,"Đang làm")</f>
        <v>4</v>
      </c>
      <c r="E5" s="9" t="n">
        <f aca="false">COUNTIFS(Backlog!$B$5:$B$129,$A5,Backlog!$K$5:$K$129,"Chưa bắt đầu")</f>
        <v>7</v>
      </c>
      <c r="F5" s="9" t="n">
        <f aca="false">COUNTIFS(Backlog!$B$5:$B$129,$A5,Backlog!$K$5:$K$129,"Bị chặn")</f>
        <v>0</v>
      </c>
      <c r="G5" s="10" t="n">
        <f aca="false">SUMIFS(Backlog!$H$5:$H$129,Backlog!$B$5:$B$129,$A5)</f>
        <v>46.5</v>
      </c>
      <c r="H5" s="10" t="n">
        <f aca="false">SUMIFS(Backlog!$M$5:$M$129,Backlog!$B$5:$B$129,$A5)</f>
        <v>25.65</v>
      </c>
      <c r="I5" s="11" t="n">
        <f aca="false">IFERROR(1-H5/G5,1)</f>
        <v>0.448387096774194</v>
      </c>
      <c r="J5" s="10" t="n">
        <f aca="false">IFERROR(ROUND(H5/$B$16,1),0)</f>
        <v>0.9</v>
      </c>
      <c r="K5" s="8" t="str">
        <f aca="false">IF(F5&gt;0,"Có việc bị chặn",IF(I5&gt;=1,"Hoàn thành",IF(D5&gt;0,"Đang chạy","Chưa bắt đầu")))</f>
        <v>Đang chạy</v>
      </c>
    </row>
    <row r="6" customFormat="false" ht="15" hidden="false" customHeight="false" outlineLevel="0" collapsed="false">
      <c r="A6" s="8" t="s">
        <v>72</v>
      </c>
      <c r="B6" s="9" t="n">
        <f aca="false">COUNTIFS(Backlog!$B$5:$B$129,$A6)</f>
        <v>19</v>
      </c>
      <c r="C6" s="9" t="n">
        <f aca="false">COUNTIFS(Backlog!$B$5:$B$129,$A6,Backlog!$K$5:$K$129,"Đã xong")</f>
        <v>0</v>
      </c>
      <c r="D6" s="9" t="n">
        <f aca="false">COUNTIFS(Backlog!$B$5:$B$129,$A6,Backlog!$K$5:$K$129,"Đang làm")</f>
        <v>0</v>
      </c>
      <c r="E6" s="9" t="n">
        <f aca="false">COUNTIFS(Backlog!$B$5:$B$129,$A6,Backlog!$K$5:$K$129,"Chưa bắt đầu")</f>
        <v>19</v>
      </c>
      <c r="F6" s="9" t="n">
        <f aca="false">COUNTIFS(Backlog!$B$5:$B$129,$A6,Backlog!$K$5:$K$129,"Bị chặn")</f>
        <v>0</v>
      </c>
      <c r="G6" s="10" t="n">
        <f aca="false">SUMIFS(Backlog!$H$5:$H$129,Backlog!$B$5:$B$129,$A6)</f>
        <v>67</v>
      </c>
      <c r="H6" s="10" t="n">
        <f aca="false">SUMIFS(Backlog!$M$5:$M$129,Backlog!$B$5:$B$129,$A6)</f>
        <v>67</v>
      </c>
      <c r="I6" s="11" t="n">
        <f aca="false">IFERROR(1-H6/G6,1)</f>
        <v>0</v>
      </c>
      <c r="J6" s="10" t="n">
        <f aca="false">IFERROR(ROUND(H6/$B$16,1),0)</f>
        <v>2.5</v>
      </c>
      <c r="K6" s="8" t="str">
        <f aca="false">IF(F6&gt;0,"Có việc bị chặn",IF(I6&gt;=1,"Hoàn thành",IF(D6&gt;0,"Đang chạy","Chưa bắt đầu")))</f>
        <v>Chưa bắt đầu</v>
      </c>
    </row>
    <row r="7" customFormat="false" ht="15" hidden="false" customHeight="false" outlineLevel="0" collapsed="false">
      <c r="A7" s="8" t="s">
        <v>73</v>
      </c>
      <c r="B7" s="9" t="n">
        <f aca="false">COUNTIFS(Backlog!$B$5:$B$129,$A7)</f>
        <v>21</v>
      </c>
      <c r="C7" s="9" t="n">
        <f aca="false">COUNTIFS(Backlog!$B$5:$B$129,$A7,Backlog!$K$5:$K$129,"Đã xong")</f>
        <v>0</v>
      </c>
      <c r="D7" s="9" t="n">
        <f aca="false">COUNTIFS(Backlog!$B$5:$B$129,$A7,Backlog!$K$5:$K$129,"Đang làm")</f>
        <v>0</v>
      </c>
      <c r="E7" s="9" t="n">
        <f aca="false">COUNTIFS(Backlog!$B$5:$B$129,$A7,Backlog!$K$5:$K$129,"Chưa bắt đầu")</f>
        <v>21</v>
      </c>
      <c r="F7" s="9" t="n">
        <f aca="false">COUNTIFS(Backlog!$B$5:$B$129,$A7,Backlog!$K$5:$K$129,"Bị chặn")</f>
        <v>0</v>
      </c>
      <c r="G7" s="10" t="n">
        <f aca="false">SUMIFS(Backlog!$H$5:$H$129,Backlog!$B$5:$B$129,$A7)</f>
        <v>70</v>
      </c>
      <c r="H7" s="10" t="n">
        <f aca="false">SUMIFS(Backlog!$M$5:$M$129,Backlog!$B$5:$B$129,$A7)</f>
        <v>70</v>
      </c>
      <c r="I7" s="11" t="n">
        <f aca="false">IFERROR(1-H7/G7,1)</f>
        <v>0</v>
      </c>
      <c r="J7" s="10" t="n">
        <f aca="false">IFERROR(ROUND(H7/$B$16,1),0)</f>
        <v>2.6</v>
      </c>
      <c r="K7" s="8" t="str">
        <f aca="false">IF(F7&gt;0,"Có việc bị chặn",IF(I7&gt;=1,"Hoàn thành",IF(D7&gt;0,"Đang chạy","Chưa bắt đầu")))</f>
        <v>Chưa bắt đầu</v>
      </c>
    </row>
    <row r="8" customFormat="false" ht="15" hidden="false" customHeight="false" outlineLevel="0" collapsed="false">
      <c r="A8" s="8" t="s">
        <v>74</v>
      </c>
      <c r="B8" s="9" t="n">
        <f aca="false">COUNTIFS(Backlog!$B$5:$B$129,$A8)</f>
        <v>18</v>
      </c>
      <c r="C8" s="9" t="n">
        <f aca="false">COUNTIFS(Backlog!$B$5:$B$129,$A8,Backlog!$K$5:$K$129,"Đã xong")</f>
        <v>0</v>
      </c>
      <c r="D8" s="9" t="n">
        <f aca="false">COUNTIFS(Backlog!$B$5:$B$129,$A8,Backlog!$K$5:$K$129,"Đang làm")</f>
        <v>0</v>
      </c>
      <c r="E8" s="9" t="n">
        <f aca="false">COUNTIFS(Backlog!$B$5:$B$129,$A8,Backlog!$K$5:$K$129,"Chưa bắt đầu")</f>
        <v>17</v>
      </c>
      <c r="F8" s="9" t="n">
        <f aca="false">COUNTIFS(Backlog!$B$5:$B$129,$A8,Backlog!$K$5:$K$129,"Bị chặn")</f>
        <v>1</v>
      </c>
      <c r="G8" s="10" t="n">
        <f aca="false">SUMIFS(Backlog!$H$5:$H$129,Backlog!$B$5:$B$129,$A8)</f>
        <v>76</v>
      </c>
      <c r="H8" s="10" t="n">
        <f aca="false">SUMIFS(Backlog!$M$5:$M$129,Backlog!$B$5:$B$129,$A8)</f>
        <v>76</v>
      </c>
      <c r="I8" s="11" t="n">
        <f aca="false">IFERROR(1-H8/G8,1)</f>
        <v>0</v>
      </c>
      <c r="J8" s="10" t="n">
        <f aca="false">IFERROR(ROUND(H8/$B$16,1),0)</f>
        <v>2.8</v>
      </c>
      <c r="K8" s="8" t="str">
        <f aca="false">IF(F8&gt;0,"Có việc bị chặn",IF(I8&gt;=1,"Hoàn thành",IF(D8&gt;0,"Đang chạy","Chưa bắt đầu")))</f>
        <v>Có việc bị chặn</v>
      </c>
    </row>
    <row r="9" customFormat="false" ht="15" hidden="false" customHeight="false" outlineLevel="0" collapsed="false">
      <c r="A9" s="8" t="s">
        <v>75</v>
      </c>
      <c r="B9" s="9" t="n">
        <f aca="false">COUNTIFS(Backlog!$B$5:$B$129,$A9)</f>
        <v>13</v>
      </c>
      <c r="C9" s="9" t="n">
        <f aca="false">COUNTIFS(Backlog!$B$5:$B$129,$A9,Backlog!$K$5:$K$129,"Đã xong")</f>
        <v>0</v>
      </c>
      <c r="D9" s="9" t="n">
        <f aca="false">COUNTIFS(Backlog!$B$5:$B$129,$A9,Backlog!$K$5:$K$129,"Đang làm")</f>
        <v>0</v>
      </c>
      <c r="E9" s="9" t="n">
        <f aca="false">COUNTIFS(Backlog!$B$5:$B$129,$A9,Backlog!$K$5:$K$129,"Chưa bắt đầu")</f>
        <v>13</v>
      </c>
      <c r="F9" s="9" t="n">
        <f aca="false">COUNTIFS(Backlog!$B$5:$B$129,$A9,Backlog!$K$5:$K$129,"Bị chặn")</f>
        <v>0</v>
      </c>
      <c r="G9" s="10" t="n">
        <f aca="false">SUMIFS(Backlog!$H$5:$H$129,Backlog!$B$5:$B$129,$A9)</f>
        <v>47</v>
      </c>
      <c r="H9" s="10" t="n">
        <f aca="false">SUMIFS(Backlog!$M$5:$M$129,Backlog!$B$5:$B$129,$A9)</f>
        <v>47</v>
      </c>
      <c r="I9" s="11" t="n">
        <f aca="false">IFERROR(1-H9/G9,1)</f>
        <v>0</v>
      </c>
      <c r="J9" s="10" t="n">
        <f aca="false">IFERROR(ROUND(H9/$B$16,1),0)</f>
        <v>1.7</v>
      </c>
      <c r="K9" s="8" t="str">
        <f aca="false">IF(F9&gt;0,"Có việc bị chặn",IF(I9&gt;=1,"Hoàn thành",IF(D9&gt;0,"Đang chạy","Chưa bắt đầu")))</f>
        <v>Chưa bắt đầu</v>
      </c>
    </row>
    <row r="10" customFormat="false" ht="15" hidden="false" customHeight="false" outlineLevel="0" collapsed="false">
      <c r="A10" s="8" t="s">
        <v>76</v>
      </c>
      <c r="B10" s="9" t="n">
        <f aca="false">COUNTIFS(Backlog!$B$5:$B$129,$A10)</f>
        <v>13</v>
      </c>
      <c r="C10" s="9" t="n">
        <f aca="false">COUNTIFS(Backlog!$B$5:$B$129,$A10,Backlog!$K$5:$K$129,"Đã xong")</f>
        <v>0</v>
      </c>
      <c r="D10" s="9" t="n">
        <f aca="false">COUNTIFS(Backlog!$B$5:$B$129,$A10,Backlog!$K$5:$K$129,"Đang làm")</f>
        <v>0</v>
      </c>
      <c r="E10" s="9" t="n">
        <f aca="false">COUNTIFS(Backlog!$B$5:$B$129,$A10,Backlog!$K$5:$K$129,"Chưa bắt đầu")</f>
        <v>12</v>
      </c>
      <c r="F10" s="9" t="n">
        <f aca="false">COUNTIFS(Backlog!$B$5:$B$129,$A10,Backlog!$K$5:$K$129,"Bị chặn")</f>
        <v>1</v>
      </c>
      <c r="G10" s="10" t="n">
        <f aca="false">SUMIFS(Backlog!$H$5:$H$129,Backlog!$B$5:$B$129,$A10)</f>
        <v>63</v>
      </c>
      <c r="H10" s="10" t="n">
        <f aca="false">SUMIFS(Backlog!$M$5:$M$129,Backlog!$B$5:$B$129,$A10)</f>
        <v>63</v>
      </c>
      <c r="I10" s="11" t="n">
        <f aca="false">IFERROR(1-H10/G10,1)</f>
        <v>0</v>
      </c>
      <c r="J10" s="10" t="n">
        <f aca="false">IFERROR(ROUND(H10/$B$16,1),0)</f>
        <v>2.3</v>
      </c>
      <c r="K10" s="8" t="str">
        <f aca="false">IF(F10&gt;0,"Có việc bị chặn",IF(I10&gt;=1,"Hoàn thành",IF(D10&gt;0,"Đang chạy","Chưa bắt đầu")))</f>
        <v>Có việc bị chặn</v>
      </c>
    </row>
    <row r="11" customFormat="false" ht="15" hidden="false" customHeight="false" outlineLevel="0" collapsed="false">
      <c r="A11" s="8" t="s">
        <v>77</v>
      </c>
      <c r="B11" s="9" t="n">
        <f aca="false">COUNTIFS(Backlog!$B$5:$B$129,$A11)</f>
        <v>11</v>
      </c>
      <c r="C11" s="9" t="n">
        <f aca="false">COUNTIFS(Backlog!$B$5:$B$129,$A11,Backlog!$K$5:$K$129,"Đã xong")</f>
        <v>0</v>
      </c>
      <c r="D11" s="9" t="n">
        <f aca="false">COUNTIFS(Backlog!$B$5:$B$129,$A11,Backlog!$K$5:$K$129,"Đang làm")</f>
        <v>0</v>
      </c>
      <c r="E11" s="9" t="n">
        <f aca="false">COUNTIFS(Backlog!$B$5:$B$129,$A11,Backlog!$K$5:$K$129,"Chưa bắt đầu")</f>
        <v>11</v>
      </c>
      <c r="F11" s="9" t="n">
        <f aca="false">COUNTIFS(Backlog!$B$5:$B$129,$A11,Backlog!$K$5:$K$129,"Bị chặn")</f>
        <v>0</v>
      </c>
      <c r="G11" s="10" t="n">
        <f aca="false">SUMIFS(Backlog!$H$5:$H$129,Backlog!$B$5:$B$129,$A11)</f>
        <v>41</v>
      </c>
      <c r="H11" s="10" t="n">
        <f aca="false">SUMIFS(Backlog!$M$5:$M$129,Backlog!$B$5:$B$129,$A11)</f>
        <v>41</v>
      </c>
      <c r="I11" s="11" t="n">
        <f aca="false">IFERROR(1-H11/G11,1)</f>
        <v>0</v>
      </c>
      <c r="J11" s="10" t="n">
        <f aca="false">IFERROR(ROUND(H11/$B$16,1),0)</f>
        <v>1.5</v>
      </c>
      <c r="K11" s="8" t="str">
        <f aca="false">IF(F11&gt;0,"Có việc bị chặn",IF(I11&gt;=1,"Hoàn thành",IF(D11&gt;0,"Đang chạy","Chưa bắt đầu")))</f>
        <v>Chưa bắt đầu</v>
      </c>
    </row>
    <row r="12" customFormat="false" ht="15" hidden="false" customHeight="false" outlineLevel="0" collapsed="false">
      <c r="A12" s="8" t="s">
        <v>78</v>
      </c>
      <c r="B12" s="9" t="n">
        <f aca="false">COUNTIFS(Backlog!$B$5:$B$129,$A12)</f>
        <v>8</v>
      </c>
      <c r="C12" s="9" t="n">
        <f aca="false">COUNTIFS(Backlog!$B$5:$B$129,$A12,Backlog!$K$5:$K$129,"Đã xong")</f>
        <v>0</v>
      </c>
      <c r="D12" s="9" t="n">
        <f aca="false">COUNTIFS(Backlog!$B$5:$B$129,$A12,Backlog!$K$5:$K$129,"Đang làm")</f>
        <v>0</v>
      </c>
      <c r="E12" s="9" t="n">
        <f aca="false">COUNTIFS(Backlog!$B$5:$B$129,$A12,Backlog!$K$5:$K$129,"Chưa bắt đầu")</f>
        <v>8</v>
      </c>
      <c r="F12" s="9" t="n">
        <f aca="false">COUNTIFS(Backlog!$B$5:$B$129,$A12,Backlog!$K$5:$K$129,"Bị chặn")</f>
        <v>0</v>
      </c>
      <c r="G12" s="10" t="n">
        <f aca="false">SUMIFS(Backlog!$H$5:$H$129,Backlog!$B$5:$B$129,$A12)</f>
        <v>31</v>
      </c>
      <c r="H12" s="10" t="n">
        <f aca="false">SUMIFS(Backlog!$M$5:$M$129,Backlog!$B$5:$B$129,$A12)</f>
        <v>31</v>
      </c>
      <c r="I12" s="11" t="n">
        <f aca="false">IFERROR(1-H12/G12,1)</f>
        <v>0</v>
      </c>
      <c r="J12" s="10" t="n">
        <f aca="false">IFERROR(ROUND(H12/$B$16,1),0)</f>
        <v>1.1</v>
      </c>
      <c r="K12" s="8" t="str">
        <f aca="false">IF(F12&gt;0,"Có việc bị chặn",IF(I12&gt;=1,"Hoàn thành",IF(D12&gt;0,"Đang chạy","Chưa bắt đầu")))</f>
        <v>Chưa bắt đầu</v>
      </c>
    </row>
    <row r="13" customFormat="false" ht="15" hidden="false" customHeight="false" outlineLevel="0" collapsed="false">
      <c r="A13" s="12" t="s">
        <v>79</v>
      </c>
      <c r="B13" s="13" t="n">
        <f aca="false">SUM(B5:B12)</f>
        <v>125</v>
      </c>
      <c r="C13" s="13" t="n">
        <f aca="false">SUM(C5:C12)</f>
        <v>11</v>
      </c>
      <c r="D13" s="13" t="n">
        <f aca="false">SUM(D5:D12)</f>
        <v>4</v>
      </c>
      <c r="E13" s="13" t="n">
        <f aca="false">SUM(E5:E12)</f>
        <v>108</v>
      </c>
      <c r="F13" s="13" t="n">
        <f aca="false">SUM(F5:F12)</f>
        <v>2</v>
      </c>
      <c r="G13" s="14" t="n">
        <f aca="false">SUM(G5:G12)</f>
        <v>441.5</v>
      </c>
      <c r="H13" s="14" t="n">
        <f aca="false">SUM(H5:H12)</f>
        <v>420.65</v>
      </c>
      <c r="I13" s="15" t="n">
        <f aca="false">IFERROR(1-H13/G13,0)</f>
        <v>0.0472253680634203</v>
      </c>
      <c r="J13" s="14" t="n">
        <f aca="false">IFERROR(ROUND(H13/$B$16,1),0)</f>
        <v>15.5</v>
      </c>
      <c r="K13" s="12"/>
    </row>
    <row r="15" customFormat="false" ht="15" hidden="false" customHeight="false" outlineLevel="0" collapsed="false">
      <c r="A15" s="6" t="s">
        <v>80</v>
      </c>
    </row>
    <row r="16" customFormat="false" ht="15" hidden="false" customHeight="false" outlineLevel="0" collapsed="false">
      <c r="A16" s="16" t="s">
        <v>81</v>
      </c>
      <c r="B16" s="17" t="n">
        <f aca="false">'Đội ngũ'!F9</f>
        <v>27.2</v>
      </c>
      <c r="C16" s="18" t="s">
        <v>82</v>
      </c>
    </row>
    <row r="17" customFormat="false" ht="15" hidden="false" customHeight="false" outlineLevel="0" collapsed="false">
      <c r="A17" s="16" t="s">
        <v>83</v>
      </c>
      <c r="B17" s="19" t="n">
        <v>2</v>
      </c>
      <c r="C17" s="18" t="s">
        <v>84</v>
      </c>
    </row>
    <row r="18" customFormat="false" ht="15" hidden="false" customHeight="false" outlineLevel="0" collapsed="false">
      <c r="A18" s="16" t="s">
        <v>85</v>
      </c>
      <c r="B18" s="19" t="n">
        <v>4</v>
      </c>
      <c r="C18" s="18" t="s">
        <v>86</v>
      </c>
    </row>
    <row r="20" customFormat="false" ht="15" hidden="false" customHeight="false" outlineLevel="0" collapsed="false">
      <c r="A20" s="16" t="s">
        <v>87</v>
      </c>
      <c r="B20" s="20" t="n">
        <f aca="false">ROUND(H13/B16,1)</f>
        <v>15.5</v>
      </c>
      <c r="C20" s="18" t="s">
        <v>88</v>
      </c>
    </row>
    <row r="21" customFormat="false" ht="15" hidden="false" customHeight="false" outlineLevel="0" collapsed="false">
      <c r="A21" s="16" t="s">
        <v>89</v>
      </c>
      <c r="B21" s="20" t="n">
        <f aca="false">ROUND(B20*B17,0)</f>
        <v>31</v>
      </c>
    </row>
  </sheetData>
  <mergeCells count="2">
    <mergeCell ref="A1:K1"/>
    <mergeCell ref="A2:K2"/>
  </mergeCells>
  <conditionalFormatting sqref="I5:I12">
    <cfRule type="dataBar" priority="2">
      <dataBar showValue="1" minLength="10" maxLength="90"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{2CEBB846-36B4-4FEC-846A-80D84746E2C5}</x14:id>
        </ext>
      </extLst>
    </cfRule>
  </conditionalFormatting>
  <conditionalFormatting sqref="F5:F12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EBB846-36B4-4FEC-846A-80D84746E2C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472C4"/>
              <x14:axisColor rgb="FF000000"/>
            </x14:dataBar>
          </x14:cfRule>
          <xm:sqref>I5:I12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5"/>
    <col collapsed="false" customWidth="true" hidden="false" outlineLevel="0" max="4" min="4" style="0" width="72"/>
    <col collapsed="false" customWidth="true" hidden="false" outlineLevel="0" max="5" min="5" style="0" width="40"/>
  </cols>
  <sheetData>
    <row r="1" customFormat="false" ht="24" hidden="false" customHeight="true" outlineLevel="0" collapsed="false">
      <c r="A1" s="1" t="s">
        <v>90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91</v>
      </c>
      <c r="B2" s="2"/>
      <c r="C2" s="2"/>
      <c r="D2" s="2"/>
      <c r="E2" s="2"/>
    </row>
    <row r="4" customFormat="false" ht="31.5" hidden="false" customHeight="true" outlineLevel="0" collapsed="false">
      <c r="A4" s="7" t="s">
        <v>92</v>
      </c>
      <c r="B4" s="7" t="s">
        <v>93</v>
      </c>
      <c r="C4" s="7" t="s">
        <v>94</v>
      </c>
      <c r="D4" s="7" t="s">
        <v>95</v>
      </c>
      <c r="E4" s="7" t="s">
        <v>96</v>
      </c>
    </row>
    <row r="5" customFormat="false" ht="15" hidden="false" customHeight="false" outlineLevel="0" collapsed="false">
      <c r="A5" s="21" t="s">
        <v>97</v>
      </c>
      <c r="B5" s="22" t="s">
        <v>29</v>
      </c>
      <c r="C5" s="23" t="n">
        <v>1</v>
      </c>
      <c r="D5" s="21" t="s">
        <v>98</v>
      </c>
      <c r="E5" s="21" t="s">
        <v>99</v>
      </c>
    </row>
    <row r="6" customFormat="false" ht="15" hidden="false" customHeight="false" outlineLevel="0" collapsed="false">
      <c r="A6" s="21" t="s">
        <v>100</v>
      </c>
      <c r="B6" s="22" t="s">
        <v>29</v>
      </c>
      <c r="C6" s="23" t="n">
        <v>1</v>
      </c>
      <c r="D6" s="21" t="s">
        <v>101</v>
      </c>
      <c r="E6" s="21" t="s">
        <v>102</v>
      </c>
    </row>
    <row r="7" customFormat="false" ht="15" hidden="false" customHeight="false" outlineLevel="0" collapsed="false">
      <c r="A7" s="21" t="s">
        <v>103</v>
      </c>
      <c r="B7" s="22" t="s">
        <v>104</v>
      </c>
      <c r="C7" s="23" t="n">
        <v>0.9</v>
      </c>
      <c r="D7" s="21" t="s">
        <v>105</v>
      </c>
      <c r="E7" s="21" t="s">
        <v>106</v>
      </c>
    </row>
    <row r="8" customFormat="false" ht="22.35" hidden="false" customHeight="false" outlineLevel="0" collapsed="false">
      <c r="A8" s="21" t="s">
        <v>107</v>
      </c>
      <c r="B8" s="22" t="s">
        <v>104</v>
      </c>
      <c r="C8" s="23" t="n">
        <v>0.85</v>
      </c>
      <c r="D8" s="21" t="s">
        <v>108</v>
      </c>
      <c r="E8" s="21" t="s">
        <v>109</v>
      </c>
    </row>
    <row r="9" customFormat="false" ht="15" hidden="false" customHeight="false" outlineLevel="0" collapsed="false">
      <c r="A9" s="21" t="s">
        <v>110</v>
      </c>
      <c r="B9" s="22" t="s">
        <v>29</v>
      </c>
      <c r="C9" s="23" t="n">
        <v>0.95</v>
      </c>
      <c r="D9" s="21" t="s">
        <v>111</v>
      </c>
      <c r="E9" s="21" t="s">
        <v>112</v>
      </c>
    </row>
    <row r="10" customFormat="false" ht="15" hidden="false" customHeight="false" outlineLevel="0" collapsed="false">
      <c r="A10" s="21" t="s">
        <v>113</v>
      </c>
      <c r="B10" s="22" t="s">
        <v>29</v>
      </c>
      <c r="C10" s="23" t="n">
        <v>0.95</v>
      </c>
      <c r="D10" s="21" t="s">
        <v>114</v>
      </c>
      <c r="E10" s="21" t="s">
        <v>115</v>
      </c>
    </row>
    <row r="11" customFormat="false" ht="22.35" hidden="false" customHeight="false" outlineLevel="0" collapsed="false">
      <c r="A11" s="21" t="s">
        <v>116</v>
      </c>
      <c r="B11" s="22" t="s">
        <v>117</v>
      </c>
      <c r="C11" s="23" t="n">
        <v>0.45</v>
      </c>
      <c r="D11" s="21" t="s">
        <v>118</v>
      </c>
      <c r="E11" s="21" t="s">
        <v>119</v>
      </c>
    </row>
    <row r="12" customFormat="false" ht="15" hidden="false" customHeight="false" outlineLevel="0" collapsed="false">
      <c r="A12" s="21" t="s">
        <v>120</v>
      </c>
      <c r="B12" s="22" t="s">
        <v>117</v>
      </c>
      <c r="C12" s="23" t="n">
        <v>0.55</v>
      </c>
      <c r="D12" s="21" t="s">
        <v>121</v>
      </c>
      <c r="E12" s="21" t="s">
        <v>122</v>
      </c>
    </row>
    <row r="13" customFormat="false" ht="15" hidden="false" customHeight="false" outlineLevel="0" collapsed="false">
      <c r="A13" s="21" t="s">
        <v>123</v>
      </c>
      <c r="B13" s="22" t="s">
        <v>117</v>
      </c>
      <c r="C13" s="23" t="n">
        <v>0.5</v>
      </c>
      <c r="D13" s="21" t="s">
        <v>124</v>
      </c>
      <c r="E13" s="21" t="s">
        <v>125</v>
      </c>
    </row>
    <row r="14" customFormat="false" ht="15" hidden="false" customHeight="false" outlineLevel="0" collapsed="false">
      <c r="A14" s="21" t="s">
        <v>126</v>
      </c>
      <c r="B14" s="22" t="s">
        <v>117</v>
      </c>
      <c r="C14" s="23" t="n">
        <v>0.6</v>
      </c>
      <c r="D14" s="21" t="s">
        <v>127</v>
      </c>
      <c r="E14" s="21" t="s">
        <v>128</v>
      </c>
    </row>
    <row r="15" customFormat="false" ht="15" hidden="false" customHeight="false" outlineLevel="0" collapsed="false">
      <c r="A15" s="21" t="s">
        <v>129</v>
      </c>
      <c r="B15" s="22" t="s">
        <v>130</v>
      </c>
      <c r="C15" s="23" t="n">
        <v>0</v>
      </c>
      <c r="D15" s="21" t="s">
        <v>131</v>
      </c>
      <c r="E15" s="21" t="s">
        <v>132</v>
      </c>
    </row>
    <row r="16" customFormat="false" ht="15" hidden="false" customHeight="false" outlineLevel="0" collapsed="false">
      <c r="A16" s="21" t="s">
        <v>133</v>
      </c>
      <c r="B16" s="22" t="s">
        <v>130</v>
      </c>
      <c r="C16" s="23" t="n">
        <v>0</v>
      </c>
      <c r="D16" s="21" t="s">
        <v>131</v>
      </c>
      <c r="E16" s="21" t="s">
        <v>132</v>
      </c>
    </row>
    <row r="17" customFormat="false" ht="15" hidden="false" customHeight="false" outlineLevel="0" collapsed="false">
      <c r="A17" s="21" t="s">
        <v>134</v>
      </c>
      <c r="B17" s="22" t="s">
        <v>130</v>
      </c>
      <c r="C17" s="23" t="n">
        <v>0</v>
      </c>
      <c r="D17" s="21" t="s">
        <v>135</v>
      </c>
      <c r="E17" s="21" t="s">
        <v>136</v>
      </c>
    </row>
    <row r="18" customFormat="false" ht="22.35" hidden="false" customHeight="false" outlineLevel="0" collapsed="false">
      <c r="A18" s="21" t="s">
        <v>137</v>
      </c>
      <c r="B18" s="22" t="s">
        <v>117</v>
      </c>
      <c r="C18" s="23" t="n">
        <v>0.5</v>
      </c>
      <c r="D18" s="21" t="s">
        <v>138</v>
      </c>
      <c r="E18" s="21" t="s">
        <v>139</v>
      </c>
    </row>
    <row r="19" customFormat="false" ht="22.35" hidden="false" customHeight="false" outlineLevel="0" collapsed="false">
      <c r="A19" s="21" t="s">
        <v>140</v>
      </c>
      <c r="B19" s="22" t="s">
        <v>141</v>
      </c>
      <c r="C19" s="23" t="n">
        <v>0.15</v>
      </c>
      <c r="D19" s="21" t="s">
        <v>142</v>
      </c>
      <c r="E19" s="21" t="s">
        <v>143</v>
      </c>
    </row>
    <row r="20" customFormat="false" ht="15" hidden="false" customHeight="false" outlineLevel="0" collapsed="false">
      <c r="A20" s="21" t="s">
        <v>144</v>
      </c>
      <c r="B20" s="22" t="s">
        <v>130</v>
      </c>
      <c r="C20" s="23" t="n">
        <v>0</v>
      </c>
      <c r="D20" s="21" t="s">
        <v>145</v>
      </c>
      <c r="E20" s="21" t="s">
        <v>146</v>
      </c>
    </row>
    <row r="21" customFormat="false" ht="15" hidden="false" customHeight="false" outlineLevel="0" collapsed="false">
      <c r="A21" s="21" t="s">
        <v>147</v>
      </c>
      <c r="B21" s="22" t="s">
        <v>130</v>
      </c>
      <c r="C21" s="23" t="n">
        <v>0</v>
      </c>
      <c r="D21" s="21" t="s">
        <v>148</v>
      </c>
      <c r="E21" s="21" t="s">
        <v>149</v>
      </c>
    </row>
    <row r="22" customFormat="false" ht="15" hidden="false" customHeight="false" outlineLevel="0" collapsed="false">
      <c r="A22" s="21" t="s">
        <v>150</v>
      </c>
      <c r="B22" s="22" t="s">
        <v>130</v>
      </c>
      <c r="C22" s="23" t="n">
        <v>0</v>
      </c>
      <c r="D22" s="21" t="s">
        <v>145</v>
      </c>
      <c r="E22" s="21" t="s">
        <v>151</v>
      </c>
    </row>
    <row r="23" customFormat="false" ht="15" hidden="false" customHeight="false" outlineLevel="0" collapsed="false">
      <c r="A23" s="21" t="s">
        <v>152</v>
      </c>
      <c r="B23" s="22" t="s">
        <v>130</v>
      </c>
      <c r="C23" s="23" t="n">
        <v>0</v>
      </c>
      <c r="D23" s="21" t="s">
        <v>145</v>
      </c>
      <c r="E23" s="21" t="s">
        <v>151</v>
      </c>
    </row>
    <row r="24" customFormat="false" ht="15" hidden="false" customHeight="false" outlineLevel="0" collapsed="false">
      <c r="A24" s="21" t="s">
        <v>153</v>
      </c>
      <c r="B24" s="22" t="s">
        <v>130</v>
      </c>
      <c r="C24" s="23" t="n">
        <v>0</v>
      </c>
      <c r="D24" s="21" t="s">
        <v>154</v>
      </c>
      <c r="E24" s="21" t="s">
        <v>155</v>
      </c>
    </row>
    <row r="25" customFormat="false" ht="15" hidden="false" customHeight="false" outlineLevel="0" collapsed="false">
      <c r="A25" s="21" t="s">
        <v>156</v>
      </c>
      <c r="B25" s="22" t="s">
        <v>117</v>
      </c>
      <c r="C25" s="23" t="n">
        <v>0.4</v>
      </c>
      <c r="D25" s="21" t="s">
        <v>157</v>
      </c>
      <c r="E25" s="21" t="s">
        <v>158</v>
      </c>
    </row>
    <row r="26" customFormat="false" ht="15" hidden="false" customHeight="false" outlineLevel="0" collapsed="false">
      <c r="A26" s="21" t="s">
        <v>159</v>
      </c>
      <c r="B26" s="22" t="s">
        <v>29</v>
      </c>
      <c r="C26" s="23" t="n">
        <v>1</v>
      </c>
      <c r="D26" s="21" t="s">
        <v>160</v>
      </c>
      <c r="E26" s="21" t="s">
        <v>161</v>
      </c>
    </row>
  </sheetData>
  <mergeCells count="2">
    <mergeCell ref="A1:E1"/>
    <mergeCell ref="A2:E2"/>
  </mergeCells>
  <conditionalFormatting sqref="C5:C26">
    <cfRule type="dataBar" priority="2">
      <dataBar showValue="1" minLength="10" maxLength="90"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{6B432EDF-95A0-4095-872F-38F1D838D6F8}</x14:id>
        </ext>
      </extLst>
    </cfRule>
  </conditionalFormatting>
  <conditionalFormatting sqref="B5:B26">
    <cfRule type="cellIs" priority="3" operator="equal" aboveAverage="0" equalAverage="0" bottom="0" percent="0" rank="0" text="" dxfId="0">
      <formula>"Chưa có"</formula>
    </cfRule>
    <cfRule type="cellIs" priority="4" operator="equal" aboveAverage="0" equalAverage="0" bottom="0" percent="0" rank="0" text="" dxfId="1">
      <formula>"Đã xong"</formula>
    </cfRule>
    <cfRule type="cellIs" priority="5" operator="equal" aboveAverage="0" equalAverage="0" bottom="0" percent="0" rank="0" text="" dxfId="2">
      <formula>"Phải làm lại"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432EDF-95A0-4095-872F-38F1D838D6F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C384"/>
              <x14:axisColor rgb="FF000000"/>
            </x14:dataBar>
          </x14:cfRule>
          <xm:sqref>C5:C26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5" min="4" style="0" width="44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  <col collapsed="false" customWidth="true" hidden="false" outlineLevel="0" max="15" min="15" style="0" width="52"/>
  </cols>
  <sheetData>
    <row r="1" customFormat="false" ht="24" hidden="false" customHeight="true" outlineLevel="0" collapsed="false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2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1.5" hidden="false" customHeight="true" outlineLevel="0" collapsed="false">
      <c r="A4" s="7" t="s">
        <v>164</v>
      </c>
      <c r="B4" s="7" t="s">
        <v>64</v>
      </c>
      <c r="C4" s="7" t="s">
        <v>165</v>
      </c>
      <c r="D4" s="7" t="s">
        <v>166</v>
      </c>
      <c r="E4" s="7" t="s">
        <v>167</v>
      </c>
      <c r="F4" s="7" t="s">
        <v>168</v>
      </c>
      <c r="G4" s="7" t="s">
        <v>169</v>
      </c>
      <c r="H4" s="7" t="s">
        <v>170</v>
      </c>
      <c r="I4" s="7" t="s">
        <v>171</v>
      </c>
      <c r="J4" s="7" t="s">
        <v>172</v>
      </c>
      <c r="K4" s="7" t="s">
        <v>173</v>
      </c>
      <c r="L4" s="7" t="s">
        <v>68</v>
      </c>
      <c r="M4" s="7" t="s">
        <v>67</v>
      </c>
      <c r="N4" s="7" t="s">
        <v>11</v>
      </c>
      <c r="O4" s="7" t="s">
        <v>174</v>
      </c>
    </row>
    <row r="5" customFormat="false" ht="43.25" hidden="false" customHeight="false" outlineLevel="0" collapsed="false">
      <c r="A5" s="24" t="s">
        <v>175</v>
      </c>
      <c r="B5" s="21" t="s">
        <v>71</v>
      </c>
      <c r="C5" s="21" t="s">
        <v>176</v>
      </c>
      <c r="D5" s="21" t="s">
        <v>177</v>
      </c>
      <c r="E5" s="21" t="s">
        <v>178</v>
      </c>
      <c r="F5" s="24" t="s">
        <v>179</v>
      </c>
      <c r="G5" s="21"/>
      <c r="H5" s="25" t="n">
        <v>1</v>
      </c>
      <c r="I5" s="24" t="s">
        <v>38</v>
      </c>
      <c r="J5" s="21"/>
      <c r="K5" s="24" t="s">
        <v>31</v>
      </c>
      <c r="L5" s="26" t="n">
        <v>0.7</v>
      </c>
      <c r="M5" s="25" t="n">
        <f aca="false">H5*(1-L5)</f>
        <v>0.3</v>
      </c>
      <c r="N5" s="24"/>
      <c r="O5" s="21" t="s">
        <v>180</v>
      </c>
    </row>
    <row r="6" customFormat="false" ht="32.8" hidden="false" customHeight="false" outlineLevel="0" collapsed="false">
      <c r="A6" s="24" t="s">
        <v>181</v>
      </c>
      <c r="B6" s="21" t="s">
        <v>71</v>
      </c>
      <c r="C6" s="21" t="s">
        <v>176</v>
      </c>
      <c r="D6" s="21" t="s">
        <v>182</v>
      </c>
      <c r="E6" s="21" t="s">
        <v>183</v>
      </c>
      <c r="F6" s="24" t="s">
        <v>179</v>
      </c>
      <c r="G6" s="21"/>
      <c r="H6" s="25" t="n">
        <v>3</v>
      </c>
      <c r="I6" s="24" t="s">
        <v>38</v>
      </c>
      <c r="J6" s="21"/>
      <c r="K6" s="24" t="s">
        <v>29</v>
      </c>
      <c r="L6" s="26" t="n">
        <v>1</v>
      </c>
      <c r="M6" s="25" t="n">
        <f aca="false">H6*(1-L6)</f>
        <v>0</v>
      </c>
      <c r="N6" s="24"/>
      <c r="O6" s="21" t="s">
        <v>184</v>
      </c>
    </row>
    <row r="7" customFormat="false" ht="22.35" hidden="false" customHeight="false" outlineLevel="0" collapsed="false">
      <c r="A7" s="24" t="s">
        <v>185</v>
      </c>
      <c r="B7" s="21" t="s">
        <v>71</v>
      </c>
      <c r="C7" s="21" t="s">
        <v>176</v>
      </c>
      <c r="D7" s="21" t="s">
        <v>186</v>
      </c>
      <c r="E7" s="21" t="s">
        <v>187</v>
      </c>
      <c r="F7" s="24" t="s">
        <v>188</v>
      </c>
      <c r="G7" s="21"/>
      <c r="H7" s="25" t="n">
        <v>1</v>
      </c>
      <c r="I7" s="24" t="s">
        <v>38</v>
      </c>
      <c r="J7" s="21" t="s">
        <v>189</v>
      </c>
      <c r="K7" s="24" t="s">
        <v>29</v>
      </c>
      <c r="L7" s="26" t="n">
        <v>1</v>
      </c>
      <c r="M7" s="25" t="n">
        <f aca="false">H7*(1-L7)</f>
        <v>0</v>
      </c>
      <c r="N7" s="24"/>
      <c r="O7" s="21" t="s">
        <v>190</v>
      </c>
    </row>
    <row r="8" customFormat="false" ht="22.35" hidden="false" customHeight="false" outlineLevel="0" collapsed="false">
      <c r="A8" s="24" t="s">
        <v>191</v>
      </c>
      <c r="B8" s="21" t="s">
        <v>71</v>
      </c>
      <c r="C8" s="21" t="s">
        <v>176</v>
      </c>
      <c r="D8" s="21" t="s">
        <v>192</v>
      </c>
      <c r="E8" s="21" t="s">
        <v>193</v>
      </c>
      <c r="F8" s="24" t="s">
        <v>179</v>
      </c>
      <c r="G8" s="21"/>
      <c r="H8" s="25" t="n">
        <v>0.5</v>
      </c>
      <c r="I8" s="24" t="s">
        <v>42</v>
      </c>
      <c r="J8" s="21" t="s">
        <v>189</v>
      </c>
      <c r="K8" s="24" t="s">
        <v>29</v>
      </c>
      <c r="L8" s="26" t="n">
        <v>1</v>
      </c>
      <c r="M8" s="25" t="n">
        <f aca="false">H8*(1-L8)</f>
        <v>0</v>
      </c>
      <c r="N8" s="24"/>
      <c r="O8" s="21" t="s">
        <v>194</v>
      </c>
    </row>
    <row r="9" customFormat="false" ht="32.8" hidden="false" customHeight="false" outlineLevel="0" collapsed="false">
      <c r="A9" s="24" t="s">
        <v>195</v>
      </c>
      <c r="B9" s="21" t="s">
        <v>71</v>
      </c>
      <c r="C9" s="21" t="s">
        <v>196</v>
      </c>
      <c r="D9" s="21" t="s">
        <v>197</v>
      </c>
      <c r="E9" s="21" t="s">
        <v>198</v>
      </c>
      <c r="F9" s="24" t="s">
        <v>188</v>
      </c>
      <c r="G9" s="21"/>
      <c r="H9" s="25" t="n">
        <v>2</v>
      </c>
      <c r="I9" s="24" t="s">
        <v>40</v>
      </c>
      <c r="J9" s="21"/>
      <c r="K9" s="24" t="s">
        <v>29</v>
      </c>
      <c r="L9" s="26" t="n">
        <v>1</v>
      </c>
      <c r="M9" s="25" t="n">
        <f aca="false">H9*(1-L9)</f>
        <v>0</v>
      </c>
      <c r="N9" s="24"/>
      <c r="O9" s="21" t="s">
        <v>199</v>
      </c>
    </row>
    <row r="10" customFormat="false" ht="32.8" hidden="false" customHeight="false" outlineLevel="0" collapsed="false">
      <c r="A10" s="24" t="s">
        <v>200</v>
      </c>
      <c r="B10" s="21" t="s">
        <v>71</v>
      </c>
      <c r="C10" s="21" t="s">
        <v>196</v>
      </c>
      <c r="D10" s="21" t="s">
        <v>201</v>
      </c>
      <c r="E10" s="21" t="s">
        <v>202</v>
      </c>
      <c r="F10" s="24" t="s">
        <v>188</v>
      </c>
      <c r="G10" s="21"/>
      <c r="H10" s="25" t="n">
        <v>3</v>
      </c>
      <c r="I10" s="24" t="s">
        <v>38</v>
      </c>
      <c r="J10" s="21" t="s">
        <v>203</v>
      </c>
      <c r="K10" s="24" t="s">
        <v>29</v>
      </c>
      <c r="L10" s="26" t="n">
        <v>1</v>
      </c>
      <c r="M10" s="25" t="n">
        <f aca="false">H10*(1-L10)</f>
        <v>0</v>
      </c>
      <c r="N10" s="24"/>
      <c r="O10" s="21" t="s">
        <v>204</v>
      </c>
    </row>
    <row r="11" customFormat="false" ht="32.8" hidden="false" customHeight="false" outlineLevel="0" collapsed="false">
      <c r="A11" s="24" t="s">
        <v>205</v>
      </c>
      <c r="B11" s="21" t="s">
        <v>71</v>
      </c>
      <c r="C11" s="21" t="s">
        <v>206</v>
      </c>
      <c r="D11" s="21" t="s">
        <v>207</v>
      </c>
      <c r="E11" s="21" t="s">
        <v>208</v>
      </c>
      <c r="F11" s="24" t="s">
        <v>179</v>
      </c>
      <c r="G11" s="21"/>
      <c r="H11" s="25" t="n">
        <v>3</v>
      </c>
      <c r="I11" s="24" t="s">
        <v>38</v>
      </c>
      <c r="J11" s="21" t="s">
        <v>189</v>
      </c>
      <c r="K11" s="24" t="s">
        <v>31</v>
      </c>
      <c r="L11" s="26" t="n">
        <v>0.85</v>
      </c>
      <c r="M11" s="25" t="n">
        <f aca="false">H11*(1-L11)</f>
        <v>0.45</v>
      </c>
      <c r="N11" s="24"/>
      <c r="O11" s="21" t="s">
        <v>209</v>
      </c>
    </row>
    <row r="12" customFormat="false" ht="32.8" hidden="false" customHeight="false" outlineLevel="0" collapsed="false">
      <c r="A12" s="24" t="s">
        <v>210</v>
      </c>
      <c r="B12" s="21" t="s">
        <v>71</v>
      </c>
      <c r="C12" s="21" t="s">
        <v>206</v>
      </c>
      <c r="D12" s="21" t="s">
        <v>211</v>
      </c>
      <c r="E12" s="21" t="s">
        <v>212</v>
      </c>
      <c r="F12" s="24" t="s">
        <v>188</v>
      </c>
      <c r="G12" s="21"/>
      <c r="H12" s="25" t="n">
        <v>2</v>
      </c>
      <c r="I12" s="24" t="s">
        <v>40</v>
      </c>
      <c r="J12" s="21" t="s">
        <v>213</v>
      </c>
      <c r="K12" s="24" t="s">
        <v>31</v>
      </c>
      <c r="L12" s="26" t="n">
        <v>0.85</v>
      </c>
      <c r="M12" s="25" t="n">
        <f aca="false">H12*(1-L12)</f>
        <v>0.3</v>
      </c>
      <c r="N12" s="24"/>
      <c r="O12" s="21" t="s">
        <v>214</v>
      </c>
    </row>
    <row r="13" customFormat="false" ht="22.35" hidden="false" customHeight="false" outlineLevel="0" collapsed="false">
      <c r="A13" s="24" t="s">
        <v>215</v>
      </c>
      <c r="B13" s="21" t="s">
        <v>71</v>
      </c>
      <c r="C13" s="21" t="s">
        <v>206</v>
      </c>
      <c r="D13" s="21" t="s">
        <v>216</v>
      </c>
      <c r="E13" s="21" t="s">
        <v>217</v>
      </c>
      <c r="F13" s="24" t="s">
        <v>179</v>
      </c>
      <c r="G13" s="21"/>
      <c r="H13" s="25" t="n">
        <v>2</v>
      </c>
      <c r="I13" s="24" t="s">
        <v>40</v>
      </c>
      <c r="J13" s="21"/>
      <c r="K13" s="24" t="s">
        <v>31</v>
      </c>
      <c r="L13" s="26" t="n">
        <v>0.7</v>
      </c>
      <c r="M13" s="25" t="n">
        <f aca="false">H13*(1-L13)</f>
        <v>0.6</v>
      </c>
      <c r="N13" s="24"/>
      <c r="O13" s="21" t="s">
        <v>218</v>
      </c>
    </row>
    <row r="14" customFormat="false" ht="15" hidden="false" customHeight="false" outlineLevel="0" collapsed="false">
      <c r="A14" s="24" t="s">
        <v>219</v>
      </c>
      <c r="B14" s="21" t="s">
        <v>71</v>
      </c>
      <c r="C14" s="21" t="s">
        <v>206</v>
      </c>
      <c r="D14" s="21" t="s">
        <v>220</v>
      </c>
      <c r="E14" s="21" t="s">
        <v>221</v>
      </c>
      <c r="F14" s="24" t="s">
        <v>179</v>
      </c>
      <c r="G14" s="21"/>
      <c r="H14" s="25" t="n">
        <v>5</v>
      </c>
      <c r="I14" s="24" t="s">
        <v>38</v>
      </c>
      <c r="J14" s="21" t="s">
        <v>213</v>
      </c>
      <c r="K14" s="24" t="s">
        <v>33</v>
      </c>
      <c r="L14" s="26" t="n">
        <v>0</v>
      </c>
      <c r="M14" s="25" t="n">
        <f aca="false">H14*(1-L14)</f>
        <v>5</v>
      </c>
      <c r="N14" s="24"/>
      <c r="O14" s="21"/>
    </row>
    <row r="15" customFormat="false" ht="22.35" hidden="false" customHeight="false" outlineLevel="0" collapsed="false">
      <c r="A15" s="24" t="s">
        <v>222</v>
      </c>
      <c r="B15" s="21" t="s">
        <v>71</v>
      </c>
      <c r="C15" s="21" t="s">
        <v>206</v>
      </c>
      <c r="D15" s="21" t="s">
        <v>223</v>
      </c>
      <c r="E15" s="21" t="s">
        <v>224</v>
      </c>
      <c r="F15" s="24" t="s">
        <v>179</v>
      </c>
      <c r="G15" s="21"/>
      <c r="H15" s="25" t="n">
        <v>2</v>
      </c>
      <c r="I15" s="24" t="s">
        <v>38</v>
      </c>
      <c r="J15" s="21"/>
      <c r="K15" s="24" t="s">
        <v>33</v>
      </c>
      <c r="L15" s="26" t="n">
        <v>0</v>
      </c>
      <c r="M15" s="25" t="n">
        <f aca="false">H15*(1-L15)</f>
        <v>2</v>
      </c>
      <c r="N15" s="24"/>
      <c r="O15" s="21" t="s">
        <v>225</v>
      </c>
    </row>
    <row r="16" customFormat="false" ht="64.15" hidden="false" customHeight="false" outlineLevel="0" collapsed="false">
      <c r="A16" s="24" t="s">
        <v>226</v>
      </c>
      <c r="B16" s="21" t="s">
        <v>71</v>
      </c>
      <c r="C16" s="21" t="s">
        <v>196</v>
      </c>
      <c r="D16" s="21" t="s">
        <v>227</v>
      </c>
      <c r="E16" s="21" t="s">
        <v>228</v>
      </c>
      <c r="F16" s="24" t="s">
        <v>188</v>
      </c>
      <c r="G16" s="21"/>
      <c r="H16" s="25" t="n">
        <v>3</v>
      </c>
      <c r="I16" s="24" t="s">
        <v>38</v>
      </c>
      <c r="J16" s="21"/>
      <c r="K16" s="24" t="s">
        <v>29</v>
      </c>
      <c r="L16" s="26" t="n">
        <v>1</v>
      </c>
      <c r="M16" s="25" t="n">
        <f aca="false">H16*(1-L16)</f>
        <v>0</v>
      </c>
      <c r="N16" s="24"/>
      <c r="O16" s="21" t="s">
        <v>229</v>
      </c>
    </row>
    <row r="17" customFormat="false" ht="22.35" hidden="false" customHeight="false" outlineLevel="0" collapsed="false">
      <c r="A17" s="24" t="s">
        <v>230</v>
      </c>
      <c r="B17" s="21" t="s">
        <v>71</v>
      </c>
      <c r="C17" s="21" t="s">
        <v>196</v>
      </c>
      <c r="D17" s="21" t="s">
        <v>231</v>
      </c>
      <c r="E17" s="21" t="s">
        <v>232</v>
      </c>
      <c r="F17" s="24" t="s">
        <v>188</v>
      </c>
      <c r="G17" s="21"/>
      <c r="H17" s="25" t="n">
        <v>3</v>
      </c>
      <c r="I17" s="24" t="s">
        <v>38</v>
      </c>
      <c r="J17" s="21"/>
      <c r="K17" s="24" t="s">
        <v>33</v>
      </c>
      <c r="L17" s="26" t="n">
        <v>0</v>
      </c>
      <c r="M17" s="25" t="n">
        <f aca="false">H17*(1-L17)</f>
        <v>3</v>
      </c>
      <c r="N17" s="24"/>
      <c r="O17" s="21" t="s">
        <v>233</v>
      </c>
    </row>
    <row r="18" customFormat="false" ht="15" hidden="false" customHeight="false" outlineLevel="0" collapsed="false">
      <c r="A18" s="24" t="s">
        <v>234</v>
      </c>
      <c r="B18" s="21" t="s">
        <v>71</v>
      </c>
      <c r="C18" s="21" t="s">
        <v>196</v>
      </c>
      <c r="D18" s="21" t="s">
        <v>235</v>
      </c>
      <c r="E18" s="21" t="s">
        <v>236</v>
      </c>
      <c r="F18" s="24" t="s">
        <v>188</v>
      </c>
      <c r="G18" s="21"/>
      <c r="H18" s="25" t="n">
        <v>4</v>
      </c>
      <c r="I18" s="24" t="s">
        <v>38</v>
      </c>
      <c r="J18" s="21"/>
      <c r="K18" s="24" t="s">
        <v>33</v>
      </c>
      <c r="L18" s="26" t="n">
        <v>0</v>
      </c>
      <c r="M18" s="25" t="n">
        <f aca="false">H18*(1-L18)</f>
        <v>4</v>
      </c>
      <c r="N18" s="24"/>
      <c r="O18" s="21" t="s">
        <v>237</v>
      </c>
    </row>
    <row r="19" customFormat="false" ht="32.8" hidden="false" customHeight="false" outlineLevel="0" collapsed="false">
      <c r="A19" s="24" t="s">
        <v>238</v>
      </c>
      <c r="B19" s="21" t="s">
        <v>71</v>
      </c>
      <c r="C19" s="21" t="s">
        <v>196</v>
      </c>
      <c r="D19" s="21" t="s">
        <v>239</v>
      </c>
      <c r="E19" s="21" t="s">
        <v>240</v>
      </c>
      <c r="F19" s="24" t="s">
        <v>188</v>
      </c>
      <c r="G19" s="21"/>
      <c r="H19" s="25" t="n">
        <v>1</v>
      </c>
      <c r="I19" s="24" t="s">
        <v>38</v>
      </c>
      <c r="J19" s="21" t="s">
        <v>241</v>
      </c>
      <c r="K19" s="24" t="s">
        <v>29</v>
      </c>
      <c r="L19" s="26" t="n">
        <v>1</v>
      </c>
      <c r="M19" s="25" t="n">
        <f aca="false">H19*(1-L19)</f>
        <v>0</v>
      </c>
      <c r="N19" s="24"/>
      <c r="O19" s="21" t="s">
        <v>242</v>
      </c>
    </row>
    <row r="20" customFormat="false" ht="15" hidden="false" customHeight="false" outlineLevel="0" collapsed="false">
      <c r="A20" s="24" t="s">
        <v>243</v>
      </c>
      <c r="B20" s="21" t="s">
        <v>71</v>
      </c>
      <c r="C20" s="21" t="s">
        <v>206</v>
      </c>
      <c r="D20" s="21" t="s">
        <v>244</v>
      </c>
      <c r="E20" s="21" t="s">
        <v>245</v>
      </c>
      <c r="F20" s="24" t="s">
        <v>179</v>
      </c>
      <c r="G20" s="21"/>
      <c r="H20" s="25" t="n">
        <v>4</v>
      </c>
      <c r="I20" s="24" t="s">
        <v>40</v>
      </c>
      <c r="J20" s="21" t="s">
        <v>246</v>
      </c>
      <c r="K20" s="24" t="s">
        <v>33</v>
      </c>
      <c r="L20" s="26" t="n">
        <v>0</v>
      </c>
      <c r="M20" s="25" t="n">
        <f aca="false">H20*(1-L20)</f>
        <v>4</v>
      </c>
      <c r="N20" s="24"/>
      <c r="O20" s="21" t="s">
        <v>247</v>
      </c>
    </row>
    <row r="21" customFormat="false" ht="22.35" hidden="false" customHeight="false" outlineLevel="0" collapsed="false">
      <c r="A21" s="24" t="s">
        <v>248</v>
      </c>
      <c r="B21" s="21" t="s">
        <v>71</v>
      </c>
      <c r="C21" s="21" t="s">
        <v>196</v>
      </c>
      <c r="D21" s="21" t="s">
        <v>249</v>
      </c>
      <c r="E21" s="21" t="s">
        <v>250</v>
      </c>
      <c r="F21" s="24" t="s">
        <v>188</v>
      </c>
      <c r="G21" s="21"/>
      <c r="H21" s="25" t="n">
        <v>1</v>
      </c>
      <c r="I21" s="24" t="s">
        <v>42</v>
      </c>
      <c r="J21" s="21"/>
      <c r="K21" s="24" t="s">
        <v>29</v>
      </c>
      <c r="L21" s="26" t="n">
        <v>1</v>
      </c>
      <c r="M21" s="25" t="n">
        <f aca="false">H21*(1-L21)</f>
        <v>0</v>
      </c>
      <c r="N21" s="24"/>
      <c r="O21" s="21" t="s">
        <v>251</v>
      </c>
    </row>
    <row r="22" customFormat="false" ht="15" hidden="false" customHeight="false" outlineLevel="0" collapsed="false">
      <c r="A22" s="24" t="s">
        <v>252</v>
      </c>
      <c r="B22" s="21" t="s">
        <v>71</v>
      </c>
      <c r="C22" s="21" t="s">
        <v>206</v>
      </c>
      <c r="D22" s="21" t="s">
        <v>253</v>
      </c>
      <c r="E22" s="21" t="s">
        <v>254</v>
      </c>
      <c r="F22" s="24" t="s">
        <v>179</v>
      </c>
      <c r="G22" s="21"/>
      <c r="H22" s="25" t="n">
        <v>3</v>
      </c>
      <c r="I22" s="24" t="s">
        <v>38</v>
      </c>
      <c r="J22" s="21" t="s">
        <v>246</v>
      </c>
      <c r="K22" s="24" t="s">
        <v>33</v>
      </c>
      <c r="L22" s="26" t="n">
        <v>0</v>
      </c>
      <c r="M22" s="25" t="n">
        <f aca="false">H22*(1-L22)</f>
        <v>3</v>
      </c>
      <c r="N22" s="24"/>
      <c r="O22" s="21" t="s">
        <v>255</v>
      </c>
    </row>
    <row r="23" customFormat="false" ht="22.35" hidden="false" customHeight="false" outlineLevel="0" collapsed="false">
      <c r="A23" s="24" t="s">
        <v>256</v>
      </c>
      <c r="B23" s="21" t="s">
        <v>71</v>
      </c>
      <c r="C23" s="21" t="s">
        <v>196</v>
      </c>
      <c r="D23" s="21" t="s">
        <v>257</v>
      </c>
      <c r="E23" s="21" t="s">
        <v>258</v>
      </c>
      <c r="F23" s="24" t="s">
        <v>188</v>
      </c>
      <c r="G23" s="21"/>
      <c r="H23" s="25" t="n">
        <v>3</v>
      </c>
      <c r="I23" s="24" t="s">
        <v>38</v>
      </c>
      <c r="J23" s="21"/>
      <c r="K23" s="24" t="s">
        <v>33</v>
      </c>
      <c r="L23" s="26" t="n">
        <v>0</v>
      </c>
      <c r="M23" s="25" t="n">
        <f aca="false">H23*(1-L23)</f>
        <v>3</v>
      </c>
      <c r="N23" s="24"/>
      <c r="O23" s="21"/>
    </row>
    <row r="24" customFormat="false" ht="22.35" hidden="false" customHeight="false" outlineLevel="0" collapsed="false">
      <c r="A24" s="24" t="s">
        <v>259</v>
      </c>
      <c r="B24" s="21" t="s">
        <v>71</v>
      </c>
      <c r="C24" s="21" t="s">
        <v>196</v>
      </c>
      <c r="D24" s="21" t="s">
        <v>260</v>
      </c>
      <c r="E24" s="21" t="s">
        <v>261</v>
      </c>
      <c r="F24" s="24" t="s">
        <v>188</v>
      </c>
      <c r="G24" s="21"/>
      <c r="H24" s="25" t="n">
        <v>0</v>
      </c>
      <c r="I24" s="24" t="s">
        <v>38</v>
      </c>
      <c r="J24" s="21"/>
      <c r="K24" s="24" t="s">
        <v>29</v>
      </c>
      <c r="L24" s="26" t="n">
        <v>1</v>
      </c>
      <c r="M24" s="25" t="n">
        <f aca="false">H24*(1-L24)</f>
        <v>0</v>
      </c>
      <c r="N24" s="24"/>
      <c r="O24" s="21" t="s">
        <v>262</v>
      </c>
    </row>
    <row r="25" customFormat="false" ht="22.35" hidden="false" customHeight="false" outlineLevel="0" collapsed="false">
      <c r="A25" s="24" t="s">
        <v>263</v>
      </c>
      <c r="B25" s="21" t="s">
        <v>71</v>
      </c>
      <c r="C25" s="21" t="s">
        <v>196</v>
      </c>
      <c r="D25" s="21" t="s">
        <v>264</v>
      </c>
      <c r="E25" s="21" t="s">
        <v>265</v>
      </c>
      <c r="F25" s="24" t="s">
        <v>188</v>
      </c>
      <c r="G25" s="21"/>
      <c r="H25" s="25" t="n">
        <v>0</v>
      </c>
      <c r="I25" s="24" t="s">
        <v>38</v>
      </c>
      <c r="J25" s="21"/>
      <c r="K25" s="24" t="s">
        <v>29</v>
      </c>
      <c r="L25" s="26" t="n">
        <v>1</v>
      </c>
      <c r="M25" s="25" t="n">
        <f aca="false">H25*(1-L25)</f>
        <v>0</v>
      </c>
      <c r="N25" s="24"/>
      <c r="O25" s="21" t="s">
        <v>266</v>
      </c>
    </row>
    <row r="26" customFormat="false" ht="15" hidden="false" customHeight="false" outlineLevel="0" collapsed="false">
      <c r="A26" s="24" t="s">
        <v>267</v>
      </c>
      <c r="B26" s="21" t="s">
        <v>71</v>
      </c>
      <c r="C26" s="21" t="s">
        <v>196</v>
      </c>
      <c r="D26" s="21" t="s">
        <v>268</v>
      </c>
      <c r="E26" s="21" t="s">
        <v>269</v>
      </c>
      <c r="F26" s="24" t="s">
        <v>188</v>
      </c>
      <c r="G26" s="21"/>
      <c r="H26" s="25" t="n">
        <v>0</v>
      </c>
      <c r="I26" s="24" t="s">
        <v>40</v>
      </c>
      <c r="J26" s="21"/>
      <c r="K26" s="24" t="s">
        <v>29</v>
      </c>
      <c r="L26" s="26" t="n">
        <v>1</v>
      </c>
      <c r="M26" s="25" t="n">
        <f aca="false">H26*(1-L26)</f>
        <v>0</v>
      </c>
      <c r="N26" s="24"/>
      <c r="O26" s="21" t="s">
        <v>270</v>
      </c>
    </row>
    <row r="27" customFormat="false" ht="22.35" hidden="false" customHeight="false" outlineLevel="0" collapsed="false">
      <c r="A27" s="24" t="s">
        <v>271</v>
      </c>
      <c r="B27" s="21" t="s">
        <v>72</v>
      </c>
      <c r="C27" s="21" t="s">
        <v>196</v>
      </c>
      <c r="D27" s="21" t="s">
        <v>272</v>
      </c>
      <c r="E27" s="21" t="s">
        <v>273</v>
      </c>
      <c r="F27" s="24" t="s">
        <v>188</v>
      </c>
      <c r="G27" s="21"/>
      <c r="H27" s="25" t="n">
        <v>3</v>
      </c>
      <c r="I27" s="24" t="s">
        <v>38</v>
      </c>
      <c r="J27" s="21" t="s">
        <v>274</v>
      </c>
      <c r="K27" s="24" t="s">
        <v>33</v>
      </c>
      <c r="L27" s="26" t="n">
        <v>0</v>
      </c>
      <c r="M27" s="25" t="n">
        <f aca="false">H27*(1-L27)</f>
        <v>3</v>
      </c>
      <c r="N27" s="24"/>
      <c r="O27" s="21" t="s">
        <v>275</v>
      </c>
    </row>
    <row r="28" customFormat="false" ht="15" hidden="false" customHeight="false" outlineLevel="0" collapsed="false">
      <c r="A28" s="24" t="s">
        <v>276</v>
      </c>
      <c r="B28" s="21" t="s">
        <v>72</v>
      </c>
      <c r="C28" s="21" t="s">
        <v>196</v>
      </c>
      <c r="D28" s="21" t="s">
        <v>277</v>
      </c>
      <c r="E28" s="21" t="s">
        <v>278</v>
      </c>
      <c r="F28" s="24" t="s">
        <v>188</v>
      </c>
      <c r="G28" s="21"/>
      <c r="H28" s="25" t="n">
        <v>4</v>
      </c>
      <c r="I28" s="24" t="s">
        <v>38</v>
      </c>
      <c r="J28" s="21" t="s">
        <v>279</v>
      </c>
      <c r="K28" s="24" t="s">
        <v>33</v>
      </c>
      <c r="L28" s="26" t="n">
        <v>0</v>
      </c>
      <c r="M28" s="25" t="n">
        <f aca="false">H28*(1-L28)</f>
        <v>4</v>
      </c>
      <c r="N28" s="24"/>
      <c r="O28" s="21"/>
    </row>
    <row r="29" customFormat="false" ht="15" hidden="false" customHeight="false" outlineLevel="0" collapsed="false">
      <c r="A29" s="24" t="s">
        <v>280</v>
      </c>
      <c r="B29" s="21" t="s">
        <v>72</v>
      </c>
      <c r="C29" s="21" t="s">
        <v>196</v>
      </c>
      <c r="D29" s="21" t="s">
        <v>281</v>
      </c>
      <c r="E29" s="21" t="s">
        <v>282</v>
      </c>
      <c r="F29" s="24" t="s">
        <v>188</v>
      </c>
      <c r="G29" s="21"/>
      <c r="H29" s="25" t="n">
        <v>2</v>
      </c>
      <c r="I29" s="24" t="s">
        <v>38</v>
      </c>
      <c r="J29" s="21" t="s">
        <v>279</v>
      </c>
      <c r="K29" s="24" t="s">
        <v>33</v>
      </c>
      <c r="L29" s="26" t="n">
        <v>0</v>
      </c>
      <c r="M29" s="25" t="n">
        <f aca="false">H29*(1-L29)</f>
        <v>2</v>
      </c>
      <c r="N29" s="24"/>
      <c r="O29" s="21"/>
    </row>
    <row r="30" customFormat="false" ht="15" hidden="false" customHeight="false" outlineLevel="0" collapsed="false">
      <c r="A30" s="24" t="s">
        <v>283</v>
      </c>
      <c r="B30" s="21" t="s">
        <v>72</v>
      </c>
      <c r="C30" s="21" t="s">
        <v>196</v>
      </c>
      <c r="D30" s="21" t="s">
        <v>284</v>
      </c>
      <c r="E30" s="21" t="s">
        <v>285</v>
      </c>
      <c r="F30" s="24" t="s">
        <v>188</v>
      </c>
      <c r="G30" s="21"/>
      <c r="H30" s="25" t="n">
        <v>3</v>
      </c>
      <c r="I30" s="24" t="s">
        <v>38</v>
      </c>
      <c r="J30" s="21" t="s">
        <v>286</v>
      </c>
      <c r="K30" s="24" t="s">
        <v>33</v>
      </c>
      <c r="L30" s="26" t="n">
        <v>0</v>
      </c>
      <c r="M30" s="25" t="n">
        <f aca="false">H30*(1-L30)</f>
        <v>3</v>
      </c>
      <c r="N30" s="24"/>
      <c r="O30" s="21"/>
    </row>
    <row r="31" customFormat="false" ht="15" hidden="false" customHeight="false" outlineLevel="0" collapsed="false">
      <c r="A31" s="24" t="s">
        <v>287</v>
      </c>
      <c r="B31" s="21" t="s">
        <v>72</v>
      </c>
      <c r="C31" s="21" t="s">
        <v>196</v>
      </c>
      <c r="D31" s="21" t="s">
        <v>288</v>
      </c>
      <c r="E31" s="21" t="s">
        <v>289</v>
      </c>
      <c r="F31" s="24" t="s">
        <v>188</v>
      </c>
      <c r="G31" s="21"/>
      <c r="H31" s="25" t="n">
        <v>2</v>
      </c>
      <c r="I31" s="24" t="s">
        <v>40</v>
      </c>
      <c r="J31" s="21" t="s">
        <v>290</v>
      </c>
      <c r="K31" s="24" t="s">
        <v>33</v>
      </c>
      <c r="L31" s="26" t="n">
        <v>0</v>
      </c>
      <c r="M31" s="25" t="n">
        <f aca="false">H31*(1-L31)</f>
        <v>2</v>
      </c>
      <c r="N31" s="24"/>
      <c r="O31" s="21"/>
    </row>
    <row r="32" customFormat="false" ht="22.35" hidden="false" customHeight="false" outlineLevel="0" collapsed="false">
      <c r="A32" s="24" t="s">
        <v>291</v>
      </c>
      <c r="B32" s="21" t="s">
        <v>72</v>
      </c>
      <c r="C32" s="21" t="s">
        <v>196</v>
      </c>
      <c r="D32" s="21" t="s">
        <v>292</v>
      </c>
      <c r="E32" s="21" t="s">
        <v>293</v>
      </c>
      <c r="F32" s="24" t="s">
        <v>188</v>
      </c>
      <c r="G32" s="21"/>
      <c r="H32" s="25" t="n">
        <v>3</v>
      </c>
      <c r="I32" s="24" t="s">
        <v>38</v>
      </c>
      <c r="J32" s="21" t="s">
        <v>286</v>
      </c>
      <c r="K32" s="24" t="s">
        <v>33</v>
      </c>
      <c r="L32" s="26" t="n">
        <v>0</v>
      </c>
      <c r="M32" s="25" t="n">
        <f aca="false">H32*(1-L32)</f>
        <v>3</v>
      </c>
      <c r="N32" s="24"/>
      <c r="O32" s="21" t="s">
        <v>294</v>
      </c>
    </row>
    <row r="33" customFormat="false" ht="22.35" hidden="false" customHeight="false" outlineLevel="0" collapsed="false">
      <c r="A33" s="24" t="s">
        <v>295</v>
      </c>
      <c r="B33" s="21" t="s">
        <v>72</v>
      </c>
      <c r="C33" s="21" t="s">
        <v>196</v>
      </c>
      <c r="D33" s="21" t="s">
        <v>296</v>
      </c>
      <c r="E33" s="21" t="s">
        <v>297</v>
      </c>
      <c r="F33" s="24" t="s">
        <v>188</v>
      </c>
      <c r="G33" s="21"/>
      <c r="H33" s="25" t="n">
        <v>5</v>
      </c>
      <c r="I33" s="24" t="s">
        <v>38</v>
      </c>
      <c r="J33" s="21" t="s">
        <v>286</v>
      </c>
      <c r="K33" s="24" t="s">
        <v>33</v>
      </c>
      <c r="L33" s="26" t="n">
        <v>0</v>
      </c>
      <c r="M33" s="25" t="n">
        <f aca="false">H33*(1-L33)</f>
        <v>5</v>
      </c>
      <c r="N33" s="24"/>
      <c r="O33" s="21"/>
    </row>
    <row r="34" customFormat="false" ht="15" hidden="false" customHeight="false" outlineLevel="0" collapsed="false">
      <c r="A34" s="24" t="s">
        <v>298</v>
      </c>
      <c r="B34" s="21" t="s">
        <v>72</v>
      </c>
      <c r="C34" s="21" t="s">
        <v>196</v>
      </c>
      <c r="D34" s="21" t="s">
        <v>299</v>
      </c>
      <c r="E34" s="21" t="s">
        <v>300</v>
      </c>
      <c r="F34" s="24" t="s">
        <v>188</v>
      </c>
      <c r="G34" s="21"/>
      <c r="H34" s="25" t="n">
        <v>4</v>
      </c>
      <c r="I34" s="24" t="s">
        <v>38</v>
      </c>
      <c r="J34" s="21" t="s">
        <v>274</v>
      </c>
      <c r="K34" s="24" t="s">
        <v>33</v>
      </c>
      <c r="L34" s="26" t="n">
        <v>0</v>
      </c>
      <c r="M34" s="25" t="n">
        <f aca="false">H34*(1-L34)</f>
        <v>4</v>
      </c>
      <c r="N34" s="24"/>
      <c r="O34" s="21" t="s">
        <v>301</v>
      </c>
    </row>
    <row r="35" customFormat="false" ht="15" hidden="false" customHeight="false" outlineLevel="0" collapsed="false">
      <c r="A35" s="24" t="s">
        <v>302</v>
      </c>
      <c r="B35" s="21" t="s">
        <v>72</v>
      </c>
      <c r="C35" s="21" t="s">
        <v>196</v>
      </c>
      <c r="D35" s="21" t="s">
        <v>303</v>
      </c>
      <c r="E35" s="21" t="s">
        <v>304</v>
      </c>
      <c r="F35" s="24" t="s">
        <v>188</v>
      </c>
      <c r="G35" s="21"/>
      <c r="H35" s="25" t="n">
        <v>4</v>
      </c>
      <c r="I35" s="24" t="s">
        <v>38</v>
      </c>
      <c r="J35" s="21" t="s">
        <v>305</v>
      </c>
      <c r="K35" s="24" t="s">
        <v>33</v>
      </c>
      <c r="L35" s="26" t="n">
        <v>0</v>
      </c>
      <c r="M35" s="25" t="n">
        <f aca="false">H35*(1-L35)</f>
        <v>4</v>
      </c>
      <c r="N35" s="24"/>
      <c r="O35" s="21" t="s">
        <v>306</v>
      </c>
    </row>
    <row r="36" customFormat="false" ht="15" hidden="false" customHeight="false" outlineLevel="0" collapsed="false">
      <c r="A36" s="24" t="s">
        <v>307</v>
      </c>
      <c r="B36" s="21" t="s">
        <v>72</v>
      </c>
      <c r="C36" s="21" t="s">
        <v>196</v>
      </c>
      <c r="D36" s="21" t="s">
        <v>308</v>
      </c>
      <c r="E36" s="21" t="s">
        <v>309</v>
      </c>
      <c r="F36" s="24" t="s">
        <v>188</v>
      </c>
      <c r="G36" s="21"/>
      <c r="H36" s="25" t="n">
        <v>3</v>
      </c>
      <c r="I36" s="24" t="s">
        <v>38</v>
      </c>
      <c r="J36" s="21" t="s">
        <v>305</v>
      </c>
      <c r="K36" s="24" t="s">
        <v>33</v>
      </c>
      <c r="L36" s="26" t="n">
        <v>0</v>
      </c>
      <c r="M36" s="25" t="n">
        <f aca="false">H36*(1-L36)</f>
        <v>3</v>
      </c>
      <c r="N36" s="24"/>
      <c r="O36" s="21"/>
    </row>
    <row r="37" customFormat="false" ht="15" hidden="false" customHeight="false" outlineLevel="0" collapsed="false">
      <c r="A37" s="24" t="s">
        <v>310</v>
      </c>
      <c r="B37" s="21" t="s">
        <v>72</v>
      </c>
      <c r="C37" s="21" t="s">
        <v>196</v>
      </c>
      <c r="D37" s="21" t="s">
        <v>311</v>
      </c>
      <c r="E37" s="21" t="s">
        <v>312</v>
      </c>
      <c r="F37" s="24" t="s">
        <v>188</v>
      </c>
      <c r="G37" s="21"/>
      <c r="H37" s="25" t="n">
        <v>3</v>
      </c>
      <c r="I37" s="24" t="s">
        <v>38</v>
      </c>
      <c r="J37" s="21" t="s">
        <v>305</v>
      </c>
      <c r="K37" s="24" t="s">
        <v>33</v>
      </c>
      <c r="L37" s="26" t="n">
        <v>0</v>
      </c>
      <c r="M37" s="25" t="n">
        <f aca="false">H37*(1-L37)</f>
        <v>3</v>
      </c>
      <c r="N37" s="24"/>
      <c r="O37" s="21" t="s">
        <v>313</v>
      </c>
    </row>
    <row r="38" customFormat="false" ht="15" hidden="false" customHeight="false" outlineLevel="0" collapsed="false">
      <c r="A38" s="24" t="s">
        <v>314</v>
      </c>
      <c r="B38" s="21" t="s">
        <v>72</v>
      </c>
      <c r="C38" s="21" t="s">
        <v>315</v>
      </c>
      <c r="D38" s="21" t="s">
        <v>316</v>
      </c>
      <c r="E38" s="21" t="s">
        <v>317</v>
      </c>
      <c r="F38" s="24" t="s">
        <v>318</v>
      </c>
      <c r="G38" s="21"/>
      <c r="H38" s="25" t="n">
        <v>4</v>
      </c>
      <c r="I38" s="24" t="s">
        <v>38</v>
      </c>
      <c r="J38" s="21" t="s">
        <v>274</v>
      </c>
      <c r="K38" s="24" t="s">
        <v>33</v>
      </c>
      <c r="L38" s="26" t="n">
        <v>0</v>
      </c>
      <c r="M38" s="25" t="n">
        <f aca="false">H38*(1-L38)</f>
        <v>4</v>
      </c>
      <c r="N38" s="24"/>
      <c r="O38" s="21"/>
    </row>
    <row r="39" customFormat="false" ht="15" hidden="false" customHeight="false" outlineLevel="0" collapsed="false">
      <c r="A39" s="24" t="s">
        <v>319</v>
      </c>
      <c r="B39" s="21" t="s">
        <v>72</v>
      </c>
      <c r="C39" s="21" t="s">
        <v>315</v>
      </c>
      <c r="D39" s="21" t="s">
        <v>320</v>
      </c>
      <c r="E39" s="21" t="s">
        <v>321</v>
      </c>
      <c r="F39" s="24" t="s">
        <v>318</v>
      </c>
      <c r="G39" s="21"/>
      <c r="H39" s="25" t="n">
        <v>2</v>
      </c>
      <c r="I39" s="24" t="s">
        <v>38</v>
      </c>
      <c r="J39" s="21" t="s">
        <v>322</v>
      </c>
      <c r="K39" s="24" t="s">
        <v>33</v>
      </c>
      <c r="L39" s="26" t="n">
        <v>0</v>
      </c>
      <c r="M39" s="25" t="n">
        <f aca="false">H39*(1-L39)</f>
        <v>2</v>
      </c>
      <c r="N39" s="24"/>
      <c r="O39" s="21"/>
    </row>
    <row r="40" customFormat="false" ht="22.35" hidden="false" customHeight="false" outlineLevel="0" collapsed="false">
      <c r="A40" s="24" t="s">
        <v>323</v>
      </c>
      <c r="B40" s="21" t="s">
        <v>72</v>
      </c>
      <c r="C40" s="21" t="s">
        <v>315</v>
      </c>
      <c r="D40" s="21" t="s">
        <v>324</v>
      </c>
      <c r="E40" s="21" t="s">
        <v>325</v>
      </c>
      <c r="F40" s="24" t="s">
        <v>318</v>
      </c>
      <c r="G40" s="21"/>
      <c r="H40" s="25" t="n">
        <v>4</v>
      </c>
      <c r="I40" s="24" t="s">
        <v>40</v>
      </c>
      <c r="J40" s="21" t="s">
        <v>322</v>
      </c>
      <c r="K40" s="24" t="s">
        <v>33</v>
      </c>
      <c r="L40" s="26" t="n">
        <v>0</v>
      </c>
      <c r="M40" s="25" t="n">
        <f aca="false">H40*(1-L40)</f>
        <v>4</v>
      </c>
      <c r="N40" s="24"/>
      <c r="O40" s="21"/>
    </row>
    <row r="41" customFormat="false" ht="22.35" hidden="false" customHeight="false" outlineLevel="0" collapsed="false">
      <c r="A41" s="24" t="s">
        <v>326</v>
      </c>
      <c r="B41" s="21" t="s">
        <v>72</v>
      </c>
      <c r="C41" s="21" t="s">
        <v>315</v>
      </c>
      <c r="D41" s="21" t="s">
        <v>327</v>
      </c>
      <c r="E41" s="21" t="s">
        <v>328</v>
      </c>
      <c r="F41" s="24" t="s">
        <v>318</v>
      </c>
      <c r="G41" s="21"/>
      <c r="H41" s="25" t="n">
        <v>4</v>
      </c>
      <c r="I41" s="24" t="s">
        <v>38</v>
      </c>
      <c r="J41" s="21" t="s">
        <v>329</v>
      </c>
      <c r="K41" s="24" t="s">
        <v>33</v>
      </c>
      <c r="L41" s="26" t="n">
        <v>0</v>
      </c>
      <c r="M41" s="25" t="n">
        <f aca="false">H41*(1-L41)</f>
        <v>4</v>
      </c>
      <c r="N41" s="24"/>
      <c r="O41" s="21"/>
    </row>
    <row r="42" customFormat="false" ht="15" hidden="false" customHeight="false" outlineLevel="0" collapsed="false">
      <c r="A42" s="24" t="s">
        <v>330</v>
      </c>
      <c r="B42" s="21" t="s">
        <v>72</v>
      </c>
      <c r="C42" s="21" t="s">
        <v>315</v>
      </c>
      <c r="D42" s="21" t="s">
        <v>331</v>
      </c>
      <c r="E42" s="21" t="s">
        <v>332</v>
      </c>
      <c r="F42" s="24" t="s">
        <v>318</v>
      </c>
      <c r="G42" s="21"/>
      <c r="H42" s="25" t="n">
        <v>5</v>
      </c>
      <c r="I42" s="24" t="s">
        <v>38</v>
      </c>
      <c r="J42" s="21" t="s">
        <v>333</v>
      </c>
      <c r="K42" s="24" t="s">
        <v>33</v>
      </c>
      <c r="L42" s="26" t="n">
        <v>0</v>
      </c>
      <c r="M42" s="25" t="n">
        <f aca="false">H42*(1-L42)</f>
        <v>5</v>
      </c>
      <c r="N42" s="24"/>
      <c r="O42" s="21"/>
    </row>
    <row r="43" customFormat="false" ht="15" hidden="false" customHeight="false" outlineLevel="0" collapsed="false">
      <c r="A43" s="24" t="s">
        <v>334</v>
      </c>
      <c r="B43" s="21" t="s">
        <v>72</v>
      </c>
      <c r="C43" s="21" t="s">
        <v>315</v>
      </c>
      <c r="D43" s="21" t="s">
        <v>335</v>
      </c>
      <c r="E43" s="21" t="s">
        <v>336</v>
      </c>
      <c r="F43" s="24" t="s">
        <v>318</v>
      </c>
      <c r="G43" s="21"/>
      <c r="H43" s="25" t="n">
        <v>4</v>
      </c>
      <c r="I43" s="24" t="s">
        <v>38</v>
      </c>
      <c r="J43" s="21" t="s">
        <v>337</v>
      </c>
      <c r="K43" s="24" t="s">
        <v>33</v>
      </c>
      <c r="L43" s="26" t="n">
        <v>0</v>
      </c>
      <c r="M43" s="25" t="n">
        <f aca="false">H43*(1-L43)</f>
        <v>4</v>
      </c>
      <c r="N43" s="24"/>
      <c r="O43" s="21"/>
    </row>
    <row r="44" customFormat="false" ht="15" hidden="false" customHeight="false" outlineLevel="0" collapsed="false">
      <c r="A44" s="24" t="s">
        <v>338</v>
      </c>
      <c r="B44" s="21" t="s">
        <v>72</v>
      </c>
      <c r="C44" s="21" t="s">
        <v>315</v>
      </c>
      <c r="D44" s="21" t="s">
        <v>339</v>
      </c>
      <c r="E44" s="21" t="s">
        <v>340</v>
      </c>
      <c r="F44" s="24" t="s">
        <v>318</v>
      </c>
      <c r="G44" s="21"/>
      <c r="H44" s="25" t="n">
        <v>5</v>
      </c>
      <c r="I44" s="24" t="s">
        <v>40</v>
      </c>
      <c r="J44" s="21" t="s">
        <v>341</v>
      </c>
      <c r="K44" s="24" t="s">
        <v>33</v>
      </c>
      <c r="L44" s="26" t="n">
        <v>0</v>
      </c>
      <c r="M44" s="25" t="n">
        <f aca="false">H44*(1-L44)</f>
        <v>5</v>
      </c>
      <c r="N44" s="24"/>
      <c r="O44" s="21"/>
    </row>
    <row r="45" customFormat="false" ht="22.35" hidden="false" customHeight="false" outlineLevel="0" collapsed="false">
      <c r="A45" s="24" t="s">
        <v>342</v>
      </c>
      <c r="B45" s="21" t="s">
        <v>72</v>
      </c>
      <c r="C45" s="21" t="s">
        <v>343</v>
      </c>
      <c r="D45" s="21" t="s">
        <v>344</v>
      </c>
      <c r="E45" s="21" t="s">
        <v>345</v>
      </c>
      <c r="F45" s="24" t="s">
        <v>318</v>
      </c>
      <c r="G45" s="21"/>
      <c r="H45" s="25" t="n">
        <v>3</v>
      </c>
      <c r="I45" s="24" t="s">
        <v>38</v>
      </c>
      <c r="J45" s="21" t="s">
        <v>346</v>
      </c>
      <c r="K45" s="24" t="s">
        <v>33</v>
      </c>
      <c r="L45" s="26" t="n">
        <v>0</v>
      </c>
      <c r="M45" s="25" t="n">
        <f aca="false">H45*(1-L45)</f>
        <v>3</v>
      </c>
      <c r="N45" s="24"/>
      <c r="O45" s="21"/>
    </row>
    <row r="46" customFormat="false" ht="22.35" hidden="false" customHeight="false" outlineLevel="0" collapsed="false">
      <c r="A46" s="24" t="s">
        <v>347</v>
      </c>
      <c r="B46" s="21" t="s">
        <v>73</v>
      </c>
      <c r="C46" s="21" t="s">
        <v>196</v>
      </c>
      <c r="D46" s="21" t="s">
        <v>348</v>
      </c>
      <c r="E46" s="21" t="s">
        <v>349</v>
      </c>
      <c r="F46" s="24" t="s">
        <v>188</v>
      </c>
      <c r="G46" s="21"/>
      <c r="H46" s="25" t="n">
        <v>4</v>
      </c>
      <c r="I46" s="24" t="s">
        <v>38</v>
      </c>
      <c r="J46" s="21" t="s">
        <v>350</v>
      </c>
      <c r="K46" s="24" t="s">
        <v>33</v>
      </c>
      <c r="L46" s="26" t="n">
        <v>0</v>
      </c>
      <c r="M46" s="25" t="n">
        <f aca="false">H46*(1-L46)</f>
        <v>4</v>
      </c>
      <c r="N46" s="24"/>
      <c r="O46" s="21" t="s">
        <v>351</v>
      </c>
    </row>
    <row r="47" customFormat="false" ht="15" hidden="false" customHeight="false" outlineLevel="0" collapsed="false">
      <c r="A47" s="24" t="s">
        <v>352</v>
      </c>
      <c r="B47" s="21" t="s">
        <v>73</v>
      </c>
      <c r="C47" s="21" t="s">
        <v>196</v>
      </c>
      <c r="D47" s="21" t="s">
        <v>353</v>
      </c>
      <c r="E47" s="21" t="s">
        <v>354</v>
      </c>
      <c r="F47" s="24" t="s">
        <v>188</v>
      </c>
      <c r="G47" s="21"/>
      <c r="H47" s="25" t="n">
        <v>4</v>
      </c>
      <c r="I47" s="24" t="s">
        <v>38</v>
      </c>
      <c r="J47" s="21" t="s">
        <v>355</v>
      </c>
      <c r="K47" s="24" t="s">
        <v>33</v>
      </c>
      <c r="L47" s="26" t="n">
        <v>0</v>
      </c>
      <c r="M47" s="25" t="n">
        <f aca="false">H47*(1-L47)</f>
        <v>4</v>
      </c>
      <c r="N47" s="24"/>
      <c r="O47" s="21"/>
    </row>
    <row r="48" customFormat="false" ht="15" hidden="false" customHeight="false" outlineLevel="0" collapsed="false">
      <c r="A48" s="24" t="s">
        <v>356</v>
      </c>
      <c r="B48" s="21" t="s">
        <v>73</v>
      </c>
      <c r="C48" s="21" t="s">
        <v>196</v>
      </c>
      <c r="D48" s="21" t="s">
        <v>357</v>
      </c>
      <c r="E48" s="21" t="s">
        <v>358</v>
      </c>
      <c r="F48" s="24" t="s">
        <v>188</v>
      </c>
      <c r="G48" s="21"/>
      <c r="H48" s="25" t="n">
        <v>3</v>
      </c>
      <c r="I48" s="24" t="s">
        <v>38</v>
      </c>
      <c r="J48" s="21" t="s">
        <v>359</v>
      </c>
      <c r="K48" s="24" t="s">
        <v>33</v>
      </c>
      <c r="L48" s="26" t="n">
        <v>0</v>
      </c>
      <c r="M48" s="25" t="n">
        <f aca="false">H48*(1-L48)</f>
        <v>3</v>
      </c>
      <c r="N48" s="24"/>
      <c r="O48" s="21"/>
    </row>
    <row r="49" customFormat="false" ht="15" hidden="false" customHeight="false" outlineLevel="0" collapsed="false">
      <c r="A49" s="24" t="s">
        <v>360</v>
      </c>
      <c r="B49" s="21" t="s">
        <v>73</v>
      </c>
      <c r="C49" s="21" t="s">
        <v>196</v>
      </c>
      <c r="D49" s="21" t="s">
        <v>361</v>
      </c>
      <c r="E49" s="21" t="s">
        <v>362</v>
      </c>
      <c r="F49" s="24" t="s">
        <v>188</v>
      </c>
      <c r="G49" s="21"/>
      <c r="H49" s="25" t="n">
        <v>2</v>
      </c>
      <c r="I49" s="24" t="s">
        <v>40</v>
      </c>
      <c r="J49" s="21" t="s">
        <v>359</v>
      </c>
      <c r="K49" s="24" t="s">
        <v>33</v>
      </c>
      <c r="L49" s="26" t="n">
        <v>0</v>
      </c>
      <c r="M49" s="25" t="n">
        <f aca="false">H49*(1-L49)</f>
        <v>2</v>
      </c>
      <c r="N49" s="24"/>
      <c r="O49" s="21"/>
    </row>
    <row r="50" customFormat="false" ht="15" hidden="false" customHeight="false" outlineLevel="0" collapsed="false">
      <c r="A50" s="24" t="s">
        <v>363</v>
      </c>
      <c r="B50" s="21" t="s">
        <v>73</v>
      </c>
      <c r="C50" s="21" t="s">
        <v>196</v>
      </c>
      <c r="D50" s="21" t="s">
        <v>364</v>
      </c>
      <c r="E50" s="21" t="s">
        <v>365</v>
      </c>
      <c r="F50" s="24" t="s">
        <v>188</v>
      </c>
      <c r="G50" s="21"/>
      <c r="H50" s="25" t="n">
        <v>1</v>
      </c>
      <c r="I50" s="24" t="s">
        <v>42</v>
      </c>
      <c r="J50" s="21" t="s">
        <v>359</v>
      </c>
      <c r="K50" s="24" t="s">
        <v>33</v>
      </c>
      <c r="L50" s="26" t="n">
        <v>0</v>
      </c>
      <c r="M50" s="25" t="n">
        <f aca="false">H50*(1-L50)</f>
        <v>1</v>
      </c>
      <c r="N50" s="24"/>
      <c r="O50" s="21"/>
    </row>
    <row r="51" customFormat="false" ht="15" hidden="false" customHeight="false" outlineLevel="0" collapsed="false">
      <c r="A51" s="24" t="s">
        <v>366</v>
      </c>
      <c r="B51" s="21" t="s">
        <v>73</v>
      </c>
      <c r="C51" s="21" t="s">
        <v>196</v>
      </c>
      <c r="D51" s="21" t="s">
        <v>367</v>
      </c>
      <c r="E51" s="21" t="s">
        <v>368</v>
      </c>
      <c r="F51" s="24" t="s">
        <v>188</v>
      </c>
      <c r="G51" s="21"/>
      <c r="H51" s="25" t="n">
        <v>2</v>
      </c>
      <c r="I51" s="24" t="s">
        <v>38</v>
      </c>
      <c r="J51" s="21" t="s">
        <v>359</v>
      </c>
      <c r="K51" s="24" t="s">
        <v>33</v>
      </c>
      <c r="L51" s="26" t="n">
        <v>0</v>
      </c>
      <c r="M51" s="25" t="n">
        <f aca="false">H51*(1-L51)</f>
        <v>2</v>
      </c>
      <c r="N51" s="24"/>
      <c r="O51" s="21" t="s">
        <v>369</v>
      </c>
    </row>
    <row r="52" customFormat="false" ht="22.35" hidden="false" customHeight="false" outlineLevel="0" collapsed="false">
      <c r="A52" s="24" t="s">
        <v>370</v>
      </c>
      <c r="B52" s="21" t="s">
        <v>73</v>
      </c>
      <c r="C52" s="21" t="s">
        <v>196</v>
      </c>
      <c r="D52" s="21" t="s">
        <v>371</v>
      </c>
      <c r="E52" s="21" t="s">
        <v>372</v>
      </c>
      <c r="F52" s="24" t="s">
        <v>188</v>
      </c>
      <c r="G52" s="21"/>
      <c r="H52" s="25" t="n">
        <v>3</v>
      </c>
      <c r="I52" s="24" t="s">
        <v>38</v>
      </c>
      <c r="J52" s="21" t="s">
        <v>359</v>
      </c>
      <c r="K52" s="24" t="s">
        <v>33</v>
      </c>
      <c r="L52" s="26" t="n">
        <v>0</v>
      </c>
      <c r="M52" s="25" t="n">
        <f aca="false">H52*(1-L52)</f>
        <v>3</v>
      </c>
      <c r="N52" s="24"/>
      <c r="O52" s="21"/>
    </row>
    <row r="53" customFormat="false" ht="22.35" hidden="false" customHeight="false" outlineLevel="0" collapsed="false">
      <c r="A53" s="24" t="s">
        <v>373</v>
      </c>
      <c r="B53" s="21" t="s">
        <v>73</v>
      </c>
      <c r="C53" s="21" t="s">
        <v>196</v>
      </c>
      <c r="D53" s="21" t="s">
        <v>374</v>
      </c>
      <c r="E53" s="21" t="s">
        <v>375</v>
      </c>
      <c r="F53" s="24" t="s">
        <v>188</v>
      </c>
      <c r="G53" s="21"/>
      <c r="H53" s="25" t="n">
        <v>5</v>
      </c>
      <c r="I53" s="24" t="s">
        <v>38</v>
      </c>
      <c r="J53" s="21" t="s">
        <v>355</v>
      </c>
      <c r="K53" s="24" t="s">
        <v>33</v>
      </c>
      <c r="L53" s="26" t="n">
        <v>0</v>
      </c>
      <c r="M53" s="25" t="n">
        <f aca="false">H53*(1-L53)</f>
        <v>5</v>
      </c>
      <c r="N53" s="24"/>
      <c r="O53" s="21"/>
    </row>
    <row r="54" customFormat="false" ht="22.35" hidden="false" customHeight="false" outlineLevel="0" collapsed="false">
      <c r="A54" s="24" t="s">
        <v>376</v>
      </c>
      <c r="B54" s="21" t="s">
        <v>73</v>
      </c>
      <c r="C54" s="21" t="s">
        <v>196</v>
      </c>
      <c r="D54" s="21" t="s">
        <v>377</v>
      </c>
      <c r="E54" s="21" t="s">
        <v>378</v>
      </c>
      <c r="F54" s="24" t="s">
        <v>188</v>
      </c>
      <c r="G54" s="21"/>
      <c r="H54" s="25" t="n">
        <v>3</v>
      </c>
      <c r="I54" s="24" t="s">
        <v>40</v>
      </c>
      <c r="J54" s="21" t="s">
        <v>379</v>
      </c>
      <c r="K54" s="24" t="s">
        <v>33</v>
      </c>
      <c r="L54" s="26" t="n">
        <v>0</v>
      </c>
      <c r="M54" s="25" t="n">
        <f aca="false">H54*(1-L54)</f>
        <v>3</v>
      </c>
      <c r="N54" s="24"/>
      <c r="O54" s="21"/>
    </row>
    <row r="55" customFormat="false" ht="15" hidden="false" customHeight="false" outlineLevel="0" collapsed="false">
      <c r="A55" s="24" t="s">
        <v>380</v>
      </c>
      <c r="B55" s="21" t="s">
        <v>73</v>
      </c>
      <c r="C55" s="21" t="s">
        <v>196</v>
      </c>
      <c r="D55" s="21" t="s">
        <v>381</v>
      </c>
      <c r="E55" s="21" t="s">
        <v>382</v>
      </c>
      <c r="F55" s="24" t="s">
        <v>188</v>
      </c>
      <c r="G55" s="21"/>
      <c r="H55" s="25" t="n">
        <v>2</v>
      </c>
      <c r="I55" s="24" t="s">
        <v>42</v>
      </c>
      <c r="J55" s="21" t="s">
        <v>379</v>
      </c>
      <c r="K55" s="24" t="s">
        <v>33</v>
      </c>
      <c r="L55" s="26" t="n">
        <v>0</v>
      </c>
      <c r="M55" s="25" t="n">
        <f aca="false">H55*(1-L55)</f>
        <v>2</v>
      </c>
      <c r="N55" s="24"/>
      <c r="O55" s="21"/>
    </row>
    <row r="56" customFormat="false" ht="22.35" hidden="false" customHeight="false" outlineLevel="0" collapsed="false">
      <c r="A56" s="24" t="s">
        <v>383</v>
      </c>
      <c r="B56" s="21" t="s">
        <v>73</v>
      </c>
      <c r="C56" s="21" t="s">
        <v>196</v>
      </c>
      <c r="D56" s="21" t="s">
        <v>384</v>
      </c>
      <c r="E56" s="21" t="s">
        <v>385</v>
      </c>
      <c r="F56" s="24" t="s">
        <v>188</v>
      </c>
      <c r="G56" s="21"/>
      <c r="H56" s="25" t="n">
        <v>3</v>
      </c>
      <c r="I56" s="24" t="s">
        <v>40</v>
      </c>
      <c r="J56" s="21" t="s">
        <v>359</v>
      </c>
      <c r="K56" s="24" t="s">
        <v>33</v>
      </c>
      <c r="L56" s="26" t="n">
        <v>0</v>
      </c>
      <c r="M56" s="25" t="n">
        <f aca="false">H56*(1-L56)</f>
        <v>3</v>
      </c>
      <c r="N56" s="24"/>
      <c r="O56" s="21" t="s">
        <v>386</v>
      </c>
    </row>
    <row r="57" customFormat="false" ht="15" hidden="false" customHeight="false" outlineLevel="0" collapsed="false">
      <c r="A57" s="24" t="s">
        <v>387</v>
      </c>
      <c r="B57" s="21" t="s">
        <v>73</v>
      </c>
      <c r="C57" s="21" t="s">
        <v>196</v>
      </c>
      <c r="D57" s="21" t="s">
        <v>388</v>
      </c>
      <c r="E57" s="21" t="s">
        <v>389</v>
      </c>
      <c r="F57" s="24" t="s">
        <v>188</v>
      </c>
      <c r="G57" s="21"/>
      <c r="H57" s="25" t="n">
        <v>4</v>
      </c>
      <c r="I57" s="24" t="s">
        <v>40</v>
      </c>
      <c r="J57" s="21" t="s">
        <v>355</v>
      </c>
      <c r="K57" s="24" t="s">
        <v>33</v>
      </c>
      <c r="L57" s="26" t="n">
        <v>0</v>
      </c>
      <c r="M57" s="25" t="n">
        <f aca="false">H57*(1-L57)</f>
        <v>4</v>
      </c>
      <c r="N57" s="24"/>
      <c r="O57" s="21"/>
    </row>
    <row r="58" customFormat="false" ht="15" hidden="false" customHeight="false" outlineLevel="0" collapsed="false">
      <c r="A58" s="24" t="s">
        <v>390</v>
      </c>
      <c r="B58" s="21" t="s">
        <v>73</v>
      </c>
      <c r="C58" s="21" t="s">
        <v>196</v>
      </c>
      <c r="D58" s="21" t="s">
        <v>391</v>
      </c>
      <c r="E58" s="21" t="s">
        <v>392</v>
      </c>
      <c r="F58" s="24" t="s">
        <v>188</v>
      </c>
      <c r="G58" s="21"/>
      <c r="H58" s="25" t="n">
        <v>4</v>
      </c>
      <c r="I58" s="24" t="s">
        <v>38</v>
      </c>
      <c r="J58" s="21" t="s">
        <v>359</v>
      </c>
      <c r="K58" s="24" t="s">
        <v>33</v>
      </c>
      <c r="L58" s="26" t="n">
        <v>0</v>
      </c>
      <c r="M58" s="25" t="n">
        <f aca="false">H58*(1-L58)</f>
        <v>4</v>
      </c>
      <c r="N58" s="24"/>
      <c r="O58" s="21" t="s">
        <v>393</v>
      </c>
    </row>
    <row r="59" customFormat="false" ht="22.35" hidden="false" customHeight="false" outlineLevel="0" collapsed="false">
      <c r="A59" s="24" t="s">
        <v>394</v>
      </c>
      <c r="B59" s="21" t="s">
        <v>73</v>
      </c>
      <c r="C59" s="21" t="s">
        <v>196</v>
      </c>
      <c r="D59" s="21" t="s">
        <v>395</v>
      </c>
      <c r="E59" s="21" t="s">
        <v>396</v>
      </c>
      <c r="F59" s="24" t="s">
        <v>188</v>
      </c>
      <c r="G59" s="21"/>
      <c r="H59" s="25" t="n">
        <v>4</v>
      </c>
      <c r="I59" s="24" t="s">
        <v>38</v>
      </c>
      <c r="J59" s="21" t="s">
        <v>350</v>
      </c>
      <c r="K59" s="24" t="s">
        <v>33</v>
      </c>
      <c r="L59" s="26" t="n">
        <v>0</v>
      </c>
      <c r="M59" s="25" t="n">
        <f aca="false">H59*(1-L59)</f>
        <v>4</v>
      </c>
      <c r="N59" s="24"/>
      <c r="O59" s="21" t="s">
        <v>397</v>
      </c>
    </row>
    <row r="60" customFormat="false" ht="22.35" hidden="false" customHeight="false" outlineLevel="0" collapsed="false">
      <c r="A60" s="24" t="s">
        <v>398</v>
      </c>
      <c r="B60" s="21" t="s">
        <v>73</v>
      </c>
      <c r="C60" s="21" t="s">
        <v>315</v>
      </c>
      <c r="D60" s="21" t="s">
        <v>399</v>
      </c>
      <c r="E60" s="21" t="s">
        <v>400</v>
      </c>
      <c r="F60" s="24" t="s">
        <v>318</v>
      </c>
      <c r="G60" s="21"/>
      <c r="H60" s="25" t="n">
        <v>5</v>
      </c>
      <c r="I60" s="24" t="s">
        <v>38</v>
      </c>
      <c r="J60" s="21" t="s">
        <v>401</v>
      </c>
      <c r="K60" s="24" t="s">
        <v>33</v>
      </c>
      <c r="L60" s="26" t="n">
        <v>0</v>
      </c>
      <c r="M60" s="25" t="n">
        <f aca="false">H60*(1-L60)</f>
        <v>5</v>
      </c>
      <c r="N60" s="24"/>
      <c r="O60" s="21"/>
    </row>
    <row r="61" customFormat="false" ht="22.35" hidden="false" customHeight="false" outlineLevel="0" collapsed="false">
      <c r="A61" s="24" t="s">
        <v>402</v>
      </c>
      <c r="B61" s="21" t="s">
        <v>73</v>
      </c>
      <c r="C61" s="21" t="s">
        <v>315</v>
      </c>
      <c r="D61" s="21" t="s">
        <v>403</v>
      </c>
      <c r="E61" s="21" t="s">
        <v>404</v>
      </c>
      <c r="F61" s="24" t="s">
        <v>318</v>
      </c>
      <c r="G61" s="21"/>
      <c r="H61" s="25" t="n">
        <v>8</v>
      </c>
      <c r="I61" s="24" t="s">
        <v>38</v>
      </c>
      <c r="J61" s="21" t="s">
        <v>379</v>
      </c>
      <c r="K61" s="24" t="s">
        <v>33</v>
      </c>
      <c r="L61" s="26" t="n">
        <v>0</v>
      </c>
      <c r="M61" s="25" t="n">
        <f aca="false">H61*(1-L61)</f>
        <v>8</v>
      </c>
      <c r="N61" s="24"/>
      <c r="O61" s="21"/>
    </row>
    <row r="62" customFormat="false" ht="15" hidden="false" customHeight="false" outlineLevel="0" collapsed="false">
      <c r="A62" s="24" t="s">
        <v>405</v>
      </c>
      <c r="B62" s="21" t="s">
        <v>73</v>
      </c>
      <c r="C62" s="21" t="s">
        <v>315</v>
      </c>
      <c r="D62" s="21" t="s">
        <v>406</v>
      </c>
      <c r="E62" s="21" t="s">
        <v>407</v>
      </c>
      <c r="F62" s="24" t="s">
        <v>318</v>
      </c>
      <c r="G62" s="21"/>
      <c r="H62" s="25" t="n">
        <v>2</v>
      </c>
      <c r="I62" s="24" t="s">
        <v>38</v>
      </c>
      <c r="J62" s="21" t="s">
        <v>408</v>
      </c>
      <c r="K62" s="24" t="s">
        <v>33</v>
      </c>
      <c r="L62" s="26" t="n">
        <v>0</v>
      </c>
      <c r="M62" s="25" t="n">
        <f aca="false">H62*(1-L62)</f>
        <v>2</v>
      </c>
      <c r="N62" s="24"/>
      <c r="O62" s="21"/>
    </row>
    <row r="63" customFormat="false" ht="22.35" hidden="false" customHeight="false" outlineLevel="0" collapsed="false">
      <c r="A63" s="24" t="s">
        <v>409</v>
      </c>
      <c r="B63" s="21" t="s">
        <v>73</v>
      </c>
      <c r="C63" s="21" t="s">
        <v>315</v>
      </c>
      <c r="D63" s="21" t="s">
        <v>410</v>
      </c>
      <c r="E63" s="21" t="s">
        <v>411</v>
      </c>
      <c r="F63" s="24" t="s">
        <v>318</v>
      </c>
      <c r="G63" s="21"/>
      <c r="H63" s="25" t="n">
        <v>3</v>
      </c>
      <c r="I63" s="24" t="s">
        <v>40</v>
      </c>
      <c r="J63" s="21" t="s">
        <v>359</v>
      </c>
      <c r="K63" s="24" t="s">
        <v>33</v>
      </c>
      <c r="L63" s="26" t="n">
        <v>0</v>
      </c>
      <c r="M63" s="25" t="n">
        <f aca="false">H63*(1-L63)</f>
        <v>3</v>
      </c>
      <c r="N63" s="24"/>
      <c r="O63" s="21"/>
    </row>
    <row r="64" customFormat="false" ht="15" hidden="false" customHeight="false" outlineLevel="0" collapsed="false">
      <c r="A64" s="24" t="s">
        <v>412</v>
      </c>
      <c r="B64" s="21" t="s">
        <v>73</v>
      </c>
      <c r="C64" s="21" t="s">
        <v>315</v>
      </c>
      <c r="D64" s="21" t="s">
        <v>413</v>
      </c>
      <c r="E64" s="21" t="s">
        <v>414</v>
      </c>
      <c r="F64" s="24" t="s">
        <v>318</v>
      </c>
      <c r="G64" s="21"/>
      <c r="H64" s="25" t="n">
        <v>3</v>
      </c>
      <c r="I64" s="24" t="s">
        <v>40</v>
      </c>
      <c r="J64" s="21" t="s">
        <v>379</v>
      </c>
      <c r="K64" s="24" t="s">
        <v>33</v>
      </c>
      <c r="L64" s="26" t="n">
        <v>0</v>
      </c>
      <c r="M64" s="25" t="n">
        <f aca="false">H64*(1-L64)</f>
        <v>3</v>
      </c>
      <c r="N64" s="24"/>
      <c r="O64" s="21"/>
    </row>
    <row r="65" customFormat="false" ht="15" hidden="false" customHeight="false" outlineLevel="0" collapsed="false">
      <c r="A65" s="24" t="s">
        <v>415</v>
      </c>
      <c r="B65" s="21" t="s">
        <v>73</v>
      </c>
      <c r="C65" s="21" t="s">
        <v>196</v>
      </c>
      <c r="D65" s="21" t="s">
        <v>416</v>
      </c>
      <c r="E65" s="21" t="s">
        <v>417</v>
      </c>
      <c r="F65" s="24" t="s">
        <v>188</v>
      </c>
      <c r="G65" s="21"/>
      <c r="H65" s="25" t="n">
        <v>2</v>
      </c>
      <c r="I65" s="24" t="s">
        <v>42</v>
      </c>
      <c r="J65" s="21" t="s">
        <v>355</v>
      </c>
      <c r="K65" s="24" t="s">
        <v>33</v>
      </c>
      <c r="L65" s="26" t="n">
        <v>0</v>
      </c>
      <c r="M65" s="25" t="n">
        <f aca="false">H65*(1-L65)</f>
        <v>2</v>
      </c>
      <c r="N65" s="24"/>
      <c r="O65" s="21"/>
    </row>
    <row r="66" customFormat="false" ht="22.35" hidden="false" customHeight="false" outlineLevel="0" collapsed="false">
      <c r="A66" s="24" t="s">
        <v>418</v>
      </c>
      <c r="B66" s="21" t="s">
        <v>73</v>
      </c>
      <c r="C66" s="21" t="s">
        <v>343</v>
      </c>
      <c r="D66" s="21" t="s">
        <v>419</v>
      </c>
      <c r="E66" s="21" t="s">
        <v>420</v>
      </c>
      <c r="F66" s="24" t="s">
        <v>318</v>
      </c>
      <c r="G66" s="21"/>
      <c r="H66" s="25" t="n">
        <v>3</v>
      </c>
      <c r="I66" s="24" t="s">
        <v>38</v>
      </c>
      <c r="J66" s="21" t="s">
        <v>421</v>
      </c>
      <c r="K66" s="24" t="s">
        <v>33</v>
      </c>
      <c r="L66" s="26" t="n">
        <v>0</v>
      </c>
      <c r="M66" s="25" t="n">
        <f aca="false">H66*(1-L66)</f>
        <v>3</v>
      </c>
      <c r="N66" s="24"/>
      <c r="O66" s="21"/>
    </row>
    <row r="67" customFormat="false" ht="15" hidden="false" customHeight="false" outlineLevel="0" collapsed="false">
      <c r="A67" s="24" t="s">
        <v>422</v>
      </c>
      <c r="B67" s="21" t="s">
        <v>74</v>
      </c>
      <c r="C67" s="21" t="s">
        <v>423</v>
      </c>
      <c r="D67" s="21" t="s">
        <v>424</v>
      </c>
      <c r="E67" s="21" t="s">
        <v>425</v>
      </c>
      <c r="F67" s="24" t="s">
        <v>426</v>
      </c>
      <c r="G67" s="21"/>
      <c r="H67" s="25" t="n">
        <v>4</v>
      </c>
      <c r="I67" s="24" t="s">
        <v>38</v>
      </c>
      <c r="J67" s="21" t="s">
        <v>427</v>
      </c>
      <c r="K67" s="24" t="s">
        <v>33</v>
      </c>
      <c r="L67" s="26" t="n">
        <v>0</v>
      </c>
      <c r="M67" s="25" t="n">
        <f aca="false">H67*(1-L67)</f>
        <v>4</v>
      </c>
      <c r="N67" s="24"/>
      <c r="O67" s="21" t="s">
        <v>428</v>
      </c>
    </row>
    <row r="68" customFormat="false" ht="15" hidden="false" customHeight="false" outlineLevel="0" collapsed="false">
      <c r="A68" s="24" t="s">
        <v>429</v>
      </c>
      <c r="B68" s="21" t="s">
        <v>74</v>
      </c>
      <c r="C68" s="21" t="s">
        <v>423</v>
      </c>
      <c r="D68" s="21" t="s">
        <v>430</v>
      </c>
      <c r="E68" s="21" t="s">
        <v>431</v>
      </c>
      <c r="F68" s="24" t="s">
        <v>426</v>
      </c>
      <c r="G68" s="21"/>
      <c r="H68" s="25" t="n">
        <v>3</v>
      </c>
      <c r="I68" s="24" t="s">
        <v>38</v>
      </c>
      <c r="J68" s="21" t="s">
        <v>432</v>
      </c>
      <c r="K68" s="24" t="s">
        <v>33</v>
      </c>
      <c r="L68" s="26" t="n">
        <v>0</v>
      </c>
      <c r="M68" s="25" t="n">
        <f aca="false">H68*(1-L68)</f>
        <v>3</v>
      </c>
      <c r="N68" s="24"/>
      <c r="O68" s="21"/>
    </row>
    <row r="69" customFormat="false" ht="22.35" hidden="false" customHeight="false" outlineLevel="0" collapsed="false">
      <c r="A69" s="24" t="s">
        <v>433</v>
      </c>
      <c r="B69" s="21" t="s">
        <v>74</v>
      </c>
      <c r="C69" s="21" t="s">
        <v>423</v>
      </c>
      <c r="D69" s="21" t="s">
        <v>434</v>
      </c>
      <c r="E69" s="21" t="s">
        <v>435</v>
      </c>
      <c r="F69" s="24" t="s">
        <v>426</v>
      </c>
      <c r="G69" s="21"/>
      <c r="H69" s="25" t="n">
        <v>5</v>
      </c>
      <c r="I69" s="24" t="s">
        <v>38</v>
      </c>
      <c r="J69" s="21" t="s">
        <v>337</v>
      </c>
      <c r="K69" s="24" t="s">
        <v>33</v>
      </c>
      <c r="L69" s="26" t="n">
        <v>0</v>
      </c>
      <c r="M69" s="25" t="n">
        <f aca="false">H69*(1-L69)</f>
        <v>5</v>
      </c>
      <c r="N69" s="24"/>
      <c r="O69" s="21"/>
    </row>
    <row r="70" customFormat="false" ht="15" hidden="false" customHeight="false" outlineLevel="0" collapsed="false">
      <c r="A70" s="24" t="s">
        <v>436</v>
      </c>
      <c r="B70" s="21" t="s">
        <v>74</v>
      </c>
      <c r="C70" s="21" t="s">
        <v>196</v>
      </c>
      <c r="D70" s="21" t="s">
        <v>437</v>
      </c>
      <c r="E70" s="21" t="s">
        <v>438</v>
      </c>
      <c r="F70" s="24" t="s">
        <v>188</v>
      </c>
      <c r="G70" s="21"/>
      <c r="H70" s="25" t="n">
        <v>4</v>
      </c>
      <c r="I70" s="24" t="s">
        <v>38</v>
      </c>
      <c r="J70" s="21"/>
      <c r="K70" s="24" t="s">
        <v>33</v>
      </c>
      <c r="L70" s="26" t="n">
        <v>0</v>
      </c>
      <c r="M70" s="25" t="n">
        <f aca="false">H70*(1-L70)</f>
        <v>4</v>
      </c>
      <c r="N70" s="24"/>
      <c r="O70" s="21" t="s">
        <v>439</v>
      </c>
    </row>
    <row r="71" customFormat="false" ht="22.35" hidden="false" customHeight="false" outlineLevel="0" collapsed="false">
      <c r="A71" s="24" t="s">
        <v>440</v>
      </c>
      <c r="B71" s="21" t="s">
        <v>74</v>
      </c>
      <c r="C71" s="21" t="s">
        <v>423</v>
      </c>
      <c r="D71" s="21" t="s">
        <v>441</v>
      </c>
      <c r="E71" s="21" t="s">
        <v>442</v>
      </c>
      <c r="F71" s="24" t="s">
        <v>426</v>
      </c>
      <c r="G71" s="21"/>
      <c r="H71" s="25" t="n">
        <v>4</v>
      </c>
      <c r="I71" s="24" t="s">
        <v>38</v>
      </c>
      <c r="J71" s="21" t="s">
        <v>443</v>
      </c>
      <c r="K71" s="24" t="s">
        <v>33</v>
      </c>
      <c r="L71" s="26" t="n">
        <v>0</v>
      </c>
      <c r="M71" s="25" t="n">
        <f aca="false">H71*(1-L71)</f>
        <v>4</v>
      </c>
      <c r="N71" s="24"/>
      <c r="O71" s="21" t="s">
        <v>444</v>
      </c>
    </row>
    <row r="72" customFormat="false" ht="22.35" hidden="false" customHeight="false" outlineLevel="0" collapsed="false">
      <c r="A72" s="24" t="s">
        <v>445</v>
      </c>
      <c r="B72" s="21" t="s">
        <v>74</v>
      </c>
      <c r="C72" s="21" t="s">
        <v>423</v>
      </c>
      <c r="D72" s="21" t="s">
        <v>446</v>
      </c>
      <c r="E72" s="21" t="s">
        <v>447</v>
      </c>
      <c r="F72" s="24" t="s">
        <v>426</v>
      </c>
      <c r="G72" s="21"/>
      <c r="H72" s="25" t="n">
        <v>8</v>
      </c>
      <c r="I72" s="24" t="s">
        <v>38</v>
      </c>
      <c r="J72" s="21" t="s">
        <v>448</v>
      </c>
      <c r="K72" s="24" t="s">
        <v>35</v>
      </c>
      <c r="L72" s="26" t="n">
        <v>0</v>
      </c>
      <c r="M72" s="25" t="n">
        <f aca="false">H72*(1-L72)</f>
        <v>8</v>
      </c>
      <c r="N72" s="24"/>
      <c r="O72" s="21" t="s">
        <v>449</v>
      </c>
    </row>
    <row r="73" customFormat="false" ht="15" hidden="false" customHeight="false" outlineLevel="0" collapsed="false">
      <c r="A73" s="24" t="s">
        <v>450</v>
      </c>
      <c r="B73" s="21" t="s">
        <v>74</v>
      </c>
      <c r="C73" s="21" t="s">
        <v>423</v>
      </c>
      <c r="D73" s="21" t="s">
        <v>451</v>
      </c>
      <c r="E73" s="21" t="s">
        <v>452</v>
      </c>
      <c r="F73" s="24" t="s">
        <v>426</v>
      </c>
      <c r="G73" s="21"/>
      <c r="H73" s="25" t="n">
        <v>4</v>
      </c>
      <c r="I73" s="24" t="s">
        <v>38</v>
      </c>
      <c r="J73" s="21" t="s">
        <v>453</v>
      </c>
      <c r="K73" s="24" t="s">
        <v>33</v>
      </c>
      <c r="L73" s="26" t="n">
        <v>0</v>
      </c>
      <c r="M73" s="25" t="n">
        <f aca="false">H73*(1-L73)</f>
        <v>4</v>
      </c>
      <c r="N73" s="24"/>
      <c r="O73" s="21" t="s">
        <v>454</v>
      </c>
    </row>
    <row r="74" customFormat="false" ht="15" hidden="false" customHeight="false" outlineLevel="0" collapsed="false">
      <c r="A74" s="24" t="s">
        <v>455</v>
      </c>
      <c r="B74" s="21" t="s">
        <v>74</v>
      </c>
      <c r="C74" s="21" t="s">
        <v>423</v>
      </c>
      <c r="D74" s="21" t="s">
        <v>456</v>
      </c>
      <c r="E74" s="21" t="s">
        <v>457</v>
      </c>
      <c r="F74" s="24" t="s">
        <v>426</v>
      </c>
      <c r="G74" s="21"/>
      <c r="H74" s="25" t="n">
        <v>5</v>
      </c>
      <c r="I74" s="24" t="s">
        <v>38</v>
      </c>
      <c r="J74" s="21" t="s">
        <v>458</v>
      </c>
      <c r="K74" s="24" t="s">
        <v>33</v>
      </c>
      <c r="L74" s="26" t="n">
        <v>0</v>
      </c>
      <c r="M74" s="25" t="n">
        <f aca="false">H74*(1-L74)</f>
        <v>5</v>
      </c>
      <c r="N74" s="24"/>
      <c r="O74" s="21"/>
    </row>
    <row r="75" customFormat="false" ht="22.35" hidden="false" customHeight="false" outlineLevel="0" collapsed="false">
      <c r="A75" s="24" t="s">
        <v>459</v>
      </c>
      <c r="B75" s="21" t="s">
        <v>74</v>
      </c>
      <c r="C75" s="21" t="s">
        <v>423</v>
      </c>
      <c r="D75" s="21" t="s">
        <v>460</v>
      </c>
      <c r="E75" s="21" t="s">
        <v>461</v>
      </c>
      <c r="F75" s="24" t="s">
        <v>426</v>
      </c>
      <c r="G75" s="21"/>
      <c r="H75" s="25" t="n">
        <v>4</v>
      </c>
      <c r="I75" s="24" t="s">
        <v>38</v>
      </c>
      <c r="J75" s="21" t="s">
        <v>432</v>
      </c>
      <c r="K75" s="24" t="s">
        <v>33</v>
      </c>
      <c r="L75" s="26" t="n">
        <v>0</v>
      </c>
      <c r="M75" s="25" t="n">
        <f aca="false">H75*(1-L75)</f>
        <v>4</v>
      </c>
      <c r="N75" s="24"/>
      <c r="O75" s="21" t="s">
        <v>462</v>
      </c>
    </row>
    <row r="76" customFormat="false" ht="22.35" hidden="false" customHeight="false" outlineLevel="0" collapsed="false">
      <c r="A76" s="24" t="s">
        <v>463</v>
      </c>
      <c r="B76" s="21" t="s">
        <v>74</v>
      </c>
      <c r="C76" s="21" t="s">
        <v>423</v>
      </c>
      <c r="D76" s="21" t="s">
        <v>464</v>
      </c>
      <c r="E76" s="21" t="s">
        <v>465</v>
      </c>
      <c r="F76" s="24" t="s">
        <v>426</v>
      </c>
      <c r="G76" s="21"/>
      <c r="H76" s="25" t="n">
        <v>4</v>
      </c>
      <c r="I76" s="24" t="s">
        <v>38</v>
      </c>
      <c r="J76" s="21" t="s">
        <v>453</v>
      </c>
      <c r="K76" s="24" t="s">
        <v>33</v>
      </c>
      <c r="L76" s="26" t="n">
        <v>0</v>
      </c>
      <c r="M76" s="25" t="n">
        <f aca="false">H76*(1-L76)</f>
        <v>4</v>
      </c>
      <c r="N76" s="24"/>
      <c r="O76" s="21" t="s">
        <v>466</v>
      </c>
    </row>
    <row r="77" customFormat="false" ht="15" hidden="false" customHeight="false" outlineLevel="0" collapsed="false">
      <c r="A77" s="24" t="s">
        <v>467</v>
      </c>
      <c r="B77" s="21" t="s">
        <v>74</v>
      </c>
      <c r="C77" s="21" t="s">
        <v>423</v>
      </c>
      <c r="D77" s="21" t="s">
        <v>468</v>
      </c>
      <c r="E77" s="21" t="s">
        <v>469</v>
      </c>
      <c r="F77" s="24" t="s">
        <v>426</v>
      </c>
      <c r="G77" s="21"/>
      <c r="H77" s="25" t="n">
        <v>3</v>
      </c>
      <c r="I77" s="24" t="s">
        <v>38</v>
      </c>
      <c r="J77" s="21" t="s">
        <v>448</v>
      </c>
      <c r="K77" s="24" t="s">
        <v>33</v>
      </c>
      <c r="L77" s="26" t="n">
        <v>0</v>
      </c>
      <c r="M77" s="25" t="n">
        <f aca="false">H77*(1-L77)</f>
        <v>3</v>
      </c>
      <c r="N77" s="24"/>
      <c r="O77" s="21"/>
    </row>
    <row r="78" customFormat="false" ht="15" hidden="false" customHeight="false" outlineLevel="0" collapsed="false">
      <c r="A78" s="24" t="s">
        <v>470</v>
      </c>
      <c r="B78" s="21" t="s">
        <v>74</v>
      </c>
      <c r="C78" s="21" t="s">
        <v>423</v>
      </c>
      <c r="D78" s="21" t="s">
        <v>471</v>
      </c>
      <c r="E78" s="21" t="s">
        <v>472</v>
      </c>
      <c r="F78" s="24" t="s">
        <v>426</v>
      </c>
      <c r="G78" s="21"/>
      <c r="H78" s="25" t="n">
        <v>5</v>
      </c>
      <c r="I78" s="24" t="s">
        <v>38</v>
      </c>
      <c r="J78" s="21" t="s">
        <v>443</v>
      </c>
      <c r="K78" s="24" t="s">
        <v>33</v>
      </c>
      <c r="L78" s="26" t="n">
        <v>0</v>
      </c>
      <c r="M78" s="25" t="n">
        <f aca="false">H78*(1-L78)</f>
        <v>5</v>
      </c>
      <c r="N78" s="24"/>
      <c r="O78" s="21"/>
    </row>
    <row r="79" customFormat="false" ht="15" hidden="false" customHeight="false" outlineLevel="0" collapsed="false">
      <c r="A79" s="24" t="s">
        <v>473</v>
      </c>
      <c r="B79" s="21" t="s">
        <v>74</v>
      </c>
      <c r="C79" s="21" t="s">
        <v>423</v>
      </c>
      <c r="D79" s="21" t="s">
        <v>474</v>
      </c>
      <c r="E79" s="21" t="s">
        <v>475</v>
      </c>
      <c r="F79" s="24" t="s">
        <v>426</v>
      </c>
      <c r="G79" s="21"/>
      <c r="H79" s="25" t="n">
        <v>4</v>
      </c>
      <c r="I79" s="24" t="s">
        <v>38</v>
      </c>
      <c r="J79" s="21" t="s">
        <v>476</v>
      </c>
      <c r="K79" s="24" t="s">
        <v>33</v>
      </c>
      <c r="L79" s="26" t="n">
        <v>0</v>
      </c>
      <c r="M79" s="25" t="n">
        <f aca="false">H79*(1-L79)</f>
        <v>4</v>
      </c>
      <c r="N79" s="24"/>
      <c r="O79" s="21"/>
    </row>
    <row r="80" customFormat="false" ht="22.35" hidden="false" customHeight="false" outlineLevel="0" collapsed="false">
      <c r="A80" s="24" t="s">
        <v>477</v>
      </c>
      <c r="B80" s="21" t="s">
        <v>74</v>
      </c>
      <c r="C80" s="21" t="s">
        <v>423</v>
      </c>
      <c r="D80" s="21" t="s">
        <v>478</v>
      </c>
      <c r="E80" s="21" t="s">
        <v>479</v>
      </c>
      <c r="F80" s="24" t="s">
        <v>426</v>
      </c>
      <c r="G80" s="21"/>
      <c r="H80" s="25" t="n">
        <v>3</v>
      </c>
      <c r="I80" s="24" t="s">
        <v>40</v>
      </c>
      <c r="J80" s="21" t="s">
        <v>379</v>
      </c>
      <c r="K80" s="24" t="s">
        <v>33</v>
      </c>
      <c r="L80" s="26" t="n">
        <v>0</v>
      </c>
      <c r="M80" s="25" t="n">
        <f aca="false">H80*(1-L80)</f>
        <v>3</v>
      </c>
      <c r="N80" s="24"/>
      <c r="O80" s="21"/>
    </row>
    <row r="81" customFormat="false" ht="15" hidden="false" customHeight="false" outlineLevel="0" collapsed="false">
      <c r="A81" s="24" t="s">
        <v>480</v>
      </c>
      <c r="B81" s="21" t="s">
        <v>74</v>
      </c>
      <c r="C81" s="21" t="s">
        <v>423</v>
      </c>
      <c r="D81" s="21" t="s">
        <v>481</v>
      </c>
      <c r="E81" s="21" t="s">
        <v>482</v>
      </c>
      <c r="F81" s="24" t="s">
        <v>426</v>
      </c>
      <c r="G81" s="21"/>
      <c r="H81" s="25" t="n">
        <v>4</v>
      </c>
      <c r="I81" s="24" t="s">
        <v>38</v>
      </c>
      <c r="J81" s="21" t="s">
        <v>453</v>
      </c>
      <c r="K81" s="24" t="s">
        <v>33</v>
      </c>
      <c r="L81" s="26" t="n">
        <v>0</v>
      </c>
      <c r="M81" s="25" t="n">
        <f aca="false">H81*(1-L81)</f>
        <v>4</v>
      </c>
      <c r="N81" s="24"/>
      <c r="O81" s="21"/>
    </row>
    <row r="82" customFormat="false" ht="15" hidden="false" customHeight="false" outlineLevel="0" collapsed="false">
      <c r="A82" s="24" t="s">
        <v>483</v>
      </c>
      <c r="B82" s="21" t="s">
        <v>74</v>
      </c>
      <c r="C82" s="21" t="s">
        <v>196</v>
      </c>
      <c r="D82" s="21" t="s">
        <v>484</v>
      </c>
      <c r="E82" s="21" t="s">
        <v>485</v>
      </c>
      <c r="F82" s="24" t="s">
        <v>188</v>
      </c>
      <c r="G82" s="21"/>
      <c r="H82" s="25" t="n">
        <v>4</v>
      </c>
      <c r="I82" s="24" t="s">
        <v>38</v>
      </c>
      <c r="J82" s="21" t="s">
        <v>305</v>
      </c>
      <c r="K82" s="24" t="s">
        <v>33</v>
      </c>
      <c r="L82" s="26" t="n">
        <v>0</v>
      </c>
      <c r="M82" s="25" t="n">
        <f aca="false">H82*(1-L82)</f>
        <v>4</v>
      </c>
      <c r="N82" s="24"/>
      <c r="O82" s="21"/>
    </row>
    <row r="83" customFormat="false" ht="15" hidden="false" customHeight="false" outlineLevel="0" collapsed="false">
      <c r="A83" s="24" t="s">
        <v>486</v>
      </c>
      <c r="B83" s="21" t="s">
        <v>74</v>
      </c>
      <c r="C83" s="21" t="s">
        <v>423</v>
      </c>
      <c r="D83" s="21" t="s">
        <v>487</v>
      </c>
      <c r="E83" s="21" t="s">
        <v>488</v>
      </c>
      <c r="F83" s="24" t="s">
        <v>426</v>
      </c>
      <c r="G83" s="21"/>
      <c r="H83" s="25" t="n">
        <v>3</v>
      </c>
      <c r="I83" s="24" t="s">
        <v>38</v>
      </c>
      <c r="J83" s="21" t="s">
        <v>489</v>
      </c>
      <c r="K83" s="24" t="s">
        <v>33</v>
      </c>
      <c r="L83" s="26" t="n">
        <v>0</v>
      </c>
      <c r="M83" s="25" t="n">
        <f aca="false">H83*(1-L83)</f>
        <v>3</v>
      </c>
      <c r="N83" s="24"/>
      <c r="O83" s="21"/>
    </row>
    <row r="84" customFormat="false" ht="22.35" hidden="false" customHeight="false" outlineLevel="0" collapsed="false">
      <c r="A84" s="24" t="s">
        <v>490</v>
      </c>
      <c r="B84" s="21" t="s">
        <v>74</v>
      </c>
      <c r="C84" s="21" t="s">
        <v>343</v>
      </c>
      <c r="D84" s="21" t="s">
        <v>491</v>
      </c>
      <c r="E84" s="21" t="s">
        <v>492</v>
      </c>
      <c r="F84" s="24" t="s">
        <v>318</v>
      </c>
      <c r="G84" s="21"/>
      <c r="H84" s="25" t="n">
        <v>5</v>
      </c>
      <c r="I84" s="24" t="s">
        <v>38</v>
      </c>
      <c r="J84" s="21" t="s">
        <v>493</v>
      </c>
      <c r="K84" s="24" t="s">
        <v>33</v>
      </c>
      <c r="L84" s="26" t="n">
        <v>0</v>
      </c>
      <c r="M84" s="25" t="n">
        <f aca="false">H84*(1-L84)</f>
        <v>5</v>
      </c>
      <c r="N84" s="24"/>
      <c r="O84" s="21"/>
    </row>
    <row r="85" customFormat="false" ht="22.35" hidden="false" customHeight="false" outlineLevel="0" collapsed="false">
      <c r="A85" s="24" t="s">
        <v>494</v>
      </c>
      <c r="B85" s="21" t="s">
        <v>75</v>
      </c>
      <c r="C85" s="21" t="s">
        <v>423</v>
      </c>
      <c r="D85" s="21" t="s">
        <v>495</v>
      </c>
      <c r="E85" s="21" t="s">
        <v>496</v>
      </c>
      <c r="F85" s="24" t="s">
        <v>426</v>
      </c>
      <c r="G85" s="21"/>
      <c r="H85" s="25" t="n">
        <v>3</v>
      </c>
      <c r="I85" s="24" t="s">
        <v>38</v>
      </c>
      <c r="J85" s="21" t="s">
        <v>497</v>
      </c>
      <c r="K85" s="24" t="s">
        <v>33</v>
      </c>
      <c r="L85" s="26" t="n">
        <v>0</v>
      </c>
      <c r="M85" s="25" t="n">
        <f aca="false">H85*(1-L85)</f>
        <v>3</v>
      </c>
      <c r="N85" s="24"/>
      <c r="O85" s="21"/>
    </row>
    <row r="86" customFormat="false" ht="15" hidden="false" customHeight="false" outlineLevel="0" collapsed="false">
      <c r="A86" s="24" t="s">
        <v>498</v>
      </c>
      <c r="B86" s="21" t="s">
        <v>75</v>
      </c>
      <c r="C86" s="21" t="s">
        <v>423</v>
      </c>
      <c r="D86" s="21" t="s">
        <v>499</v>
      </c>
      <c r="E86" s="21" t="s">
        <v>500</v>
      </c>
      <c r="F86" s="24" t="s">
        <v>426</v>
      </c>
      <c r="G86" s="21"/>
      <c r="H86" s="25" t="n">
        <v>2</v>
      </c>
      <c r="I86" s="24" t="s">
        <v>38</v>
      </c>
      <c r="J86" s="21" t="s">
        <v>501</v>
      </c>
      <c r="K86" s="24" t="s">
        <v>33</v>
      </c>
      <c r="L86" s="26" t="n">
        <v>0</v>
      </c>
      <c r="M86" s="25" t="n">
        <f aca="false">H86*(1-L86)</f>
        <v>2</v>
      </c>
      <c r="N86" s="24"/>
      <c r="O86" s="21"/>
    </row>
    <row r="87" customFormat="false" ht="22.35" hidden="false" customHeight="false" outlineLevel="0" collapsed="false">
      <c r="A87" s="24" t="s">
        <v>502</v>
      </c>
      <c r="B87" s="21" t="s">
        <v>75</v>
      </c>
      <c r="C87" s="21" t="s">
        <v>423</v>
      </c>
      <c r="D87" s="21" t="s">
        <v>503</v>
      </c>
      <c r="E87" s="21" t="s">
        <v>504</v>
      </c>
      <c r="F87" s="24" t="s">
        <v>426</v>
      </c>
      <c r="G87" s="21"/>
      <c r="H87" s="25" t="n">
        <v>6</v>
      </c>
      <c r="I87" s="24" t="s">
        <v>38</v>
      </c>
      <c r="J87" s="21" t="s">
        <v>501</v>
      </c>
      <c r="K87" s="24" t="s">
        <v>33</v>
      </c>
      <c r="L87" s="26" t="n">
        <v>0</v>
      </c>
      <c r="M87" s="25" t="n">
        <f aca="false">H87*(1-L87)</f>
        <v>6</v>
      </c>
      <c r="N87" s="24"/>
      <c r="O87" s="21" t="s">
        <v>505</v>
      </c>
    </row>
    <row r="88" customFormat="false" ht="15" hidden="false" customHeight="false" outlineLevel="0" collapsed="false">
      <c r="A88" s="24" t="s">
        <v>506</v>
      </c>
      <c r="B88" s="21" t="s">
        <v>75</v>
      </c>
      <c r="C88" s="21" t="s">
        <v>423</v>
      </c>
      <c r="D88" s="21" t="s">
        <v>507</v>
      </c>
      <c r="E88" s="21" t="s">
        <v>508</v>
      </c>
      <c r="F88" s="24" t="s">
        <v>426</v>
      </c>
      <c r="G88" s="21"/>
      <c r="H88" s="25" t="n">
        <v>5</v>
      </c>
      <c r="I88" s="24" t="s">
        <v>38</v>
      </c>
      <c r="J88" s="21" t="s">
        <v>476</v>
      </c>
      <c r="K88" s="24" t="s">
        <v>33</v>
      </c>
      <c r="L88" s="26" t="n">
        <v>0</v>
      </c>
      <c r="M88" s="25" t="n">
        <f aca="false">H88*(1-L88)</f>
        <v>5</v>
      </c>
      <c r="N88" s="24"/>
      <c r="O88" s="21"/>
    </row>
    <row r="89" customFormat="false" ht="15" hidden="false" customHeight="false" outlineLevel="0" collapsed="false">
      <c r="A89" s="24" t="s">
        <v>509</v>
      </c>
      <c r="B89" s="21" t="s">
        <v>75</v>
      </c>
      <c r="C89" s="21" t="s">
        <v>423</v>
      </c>
      <c r="D89" s="21" t="s">
        <v>510</v>
      </c>
      <c r="E89" s="21" t="s">
        <v>511</v>
      </c>
      <c r="F89" s="24" t="s">
        <v>426</v>
      </c>
      <c r="G89" s="21"/>
      <c r="H89" s="25" t="n">
        <v>2</v>
      </c>
      <c r="I89" s="24" t="s">
        <v>38</v>
      </c>
      <c r="J89" s="21" t="s">
        <v>501</v>
      </c>
      <c r="K89" s="24" t="s">
        <v>33</v>
      </c>
      <c r="L89" s="26" t="n">
        <v>0</v>
      </c>
      <c r="M89" s="25" t="n">
        <f aca="false">H89*(1-L89)</f>
        <v>2</v>
      </c>
      <c r="N89" s="24"/>
      <c r="O89" s="21" t="s">
        <v>512</v>
      </c>
    </row>
    <row r="90" customFormat="false" ht="22.35" hidden="false" customHeight="false" outlineLevel="0" collapsed="false">
      <c r="A90" s="24" t="s">
        <v>513</v>
      </c>
      <c r="B90" s="21" t="s">
        <v>75</v>
      </c>
      <c r="C90" s="21" t="s">
        <v>423</v>
      </c>
      <c r="D90" s="21" t="s">
        <v>514</v>
      </c>
      <c r="E90" s="21" t="s">
        <v>515</v>
      </c>
      <c r="F90" s="24" t="s">
        <v>426</v>
      </c>
      <c r="G90" s="21"/>
      <c r="H90" s="25" t="n">
        <v>5</v>
      </c>
      <c r="I90" s="24" t="s">
        <v>38</v>
      </c>
      <c r="J90" s="21" t="s">
        <v>516</v>
      </c>
      <c r="K90" s="24" t="s">
        <v>33</v>
      </c>
      <c r="L90" s="26" t="n">
        <v>0</v>
      </c>
      <c r="M90" s="25" t="n">
        <f aca="false">H90*(1-L90)</f>
        <v>5</v>
      </c>
      <c r="N90" s="24"/>
      <c r="O90" s="21"/>
    </row>
    <row r="91" customFormat="false" ht="15" hidden="false" customHeight="false" outlineLevel="0" collapsed="false">
      <c r="A91" s="24" t="s">
        <v>517</v>
      </c>
      <c r="B91" s="21" t="s">
        <v>75</v>
      </c>
      <c r="C91" s="21" t="s">
        <v>423</v>
      </c>
      <c r="D91" s="21" t="s">
        <v>518</v>
      </c>
      <c r="E91" s="21" t="s">
        <v>519</v>
      </c>
      <c r="F91" s="24" t="s">
        <v>426</v>
      </c>
      <c r="G91" s="21"/>
      <c r="H91" s="25" t="n">
        <v>4</v>
      </c>
      <c r="I91" s="24" t="s">
        <v>38</v>
      </c>
      <c r="J91" s="21" t="s">
        <v>520</v>
      </c>
      <c r="K91" s="24" t="s">
        <v>33</v>
      </c>
      <c r="L91" s="26" t="n">
        <v>0</v>
      </c>
      <c r="M91" s="25" t="n">
        <f aca="false">H91*(1-L91)</f>
        <v>4</v>
      </c>
      <c r="N91" s="24"/>
      <c r="O91" s="21"/>
    </row>
    <row r="92" customFormat="false" ht="15" hidden="false" customHeight="false" outlineLevel="0" collapsed="false">
      <c r="A92" s="24" t="s">
        <v>521</v>
      </c>
      <c r="B92" s="21" t="s">
        <v>75</v>
      </c>
      <c r="C92" s="21" t="s">
        <v>423</v>
      </c>
      <c r="D92" s="21" t="s">
        <v>522</v>
      </c>
      <c r="E92" s="21" t="s">
        <v>523</v>
      </c>
      <c r="F92" s="24" t="s">
        <v>426</v>
      </c>
      <c r="G92" s="21"/>
      <c r="H92" s="25" t="n">
        <v>3</v>
      </c>
      <c r="I92" s="24" t="s">
        <v>38</v>
      </c>
      <c r="J92" s="21" t="s">
        <v>476</v>
      </c>
      <c r="K92" s="24" t="s">
        <v>33</v>
      </c>
      <c r="L92" s="26" t="n">
        <v>0</v>
      </c>
      <c r="M92" s="25" t="n">
        <f aca="false">H92*(1-L92)</f>
        <v>3</v>
      </c>
      <c r="N92" s="24"/>
      <c r="O92" s="21"/>
    </row>
    <row r="93" customFormat="false" ht="15" hidden="false" customHeight="false" outlineLevel="0" collapsed="false">
      <c r="A93" s="24" t="s">
        <v>524</v>
      </c>
      <c r="B93" s="21" t="s">
        <v>75</v>
      </c>
      <c r="C93" s="21" t="s">
        <v>423</v>
      </c>
      <c r="D93" s="21" t="s">
        <v>525</v>
      </c>
      <c r="E93" s="21" t="s">
        <v>526</v>
      </c>
      <c r="F93" s="24" t="s">
        <v>426</v>
      </c>
      <c r="G93" s="21"/>
      <c r="H93" s="25" t="n">
        <v>4</v>
      </c>
      <c r="I93" s="24" t="s">
        <v>40</v>
      </c>
      <c r="J93" s="21" t="s">
        <v>527</v>
      </c>
      <c r="K93" s="24" t="s">
        <v>33</v>
      </c>
      <c r="L93" s="26" t="n">
        <v>0</v>
      </c>
      <c r="M93" s="25" t="n">
        <f aca="false">H93*(1-L93)</f>
        <v>4</v>
      </c>
      <c r="N93" s="24"/>
      <c r="O93" s="21"/>
    </row>
    <row r="94" customFormat="false" ht="15" hidden="false" customHeight="false" outlineLevel="0" collapsed="false">
      <c r="A94" s="24" t="s">
        <v>528</v>
      </c>
      <c r="B94" s="21" t="s">
        <v>75</v>
      </c>
      <c r="C94" s="21" t="s">
        <v>423</v>
      </c>
      <c r="D94" s="21" t="s">
        <v>529</v>
      </c>
      <c r="E94" s="21" t="s">
        <v>530</v>
      </c>
      <c r="F94" s="24" t="s">
        <v>426</v>
      </c>
      <c r="G94" s="21"/>
      <c r="H94" s="25" t="n">
        <v>3</v>
      </c>
      <c r="I94" s="24" t="s">
        <v>40</v>
      </c>
      <c r="J94" s="21" t="s">
        <v>531</v>
      </c>
      <c r="K94" s="24" t="s">
        <v>33</v>
      </c>
      <c r="L94" s="26" t="n">
        <v>0</v>
      </c>
      <c r="M94" s="25" t="n">
        <f aca="false">H94*(1-L94)</f>
        <v>3</v>
      </c>
      <c r="N94" s="24"/>
      <c r="O94" s="21" t="s">
        <v>532</v>
      </c>
    </row>
    <row r="95" customFormat="false" ht="22.35" hidden="false" customHeight="false" outlineLevel="0" collapsed="false">
      <c r="A95" s="24" t="s">
        <v>533</v>
      </c>
      <c r="B95" s="21" t="s">
        <v>75</v>
      </c>
      <c r="C95" s="21" t="s">
        <v>196</v>
      </c>
      <c r="D95" s="21" t="s">
        <v>534</v>
      </c>
      <c r="E95" s="21" t="s">
        <v>535</v>
      </c>
      <c r="F95" s="24" t="s">
        <v>188</v>
      </c>
      <c r="G95" s="21"/>
      <c r="H95" s="25" t="n">
        <v>3</v>
      </c>
      <c r="I95" s="24" t="s">
        <v>38</v>
      </c>
      <c r="J95" s="21" t="s">
        <v>305</v>
      </c>
      <c r="K95" s="24" t="s">
        <v>33</v>
      </c>
      <c r="L95" s="26" t="n">
        <v>0</v>
      </c>
      <c r="M95" s="25" t="n">
        <f aca="false">H95*(1-L95)</f>
        <v>3</v>
      </c>
      <c r="N95" s="24"/>
      <c r="O95" s="21" t="s">
        <v>536</v>
      </c>
    </row>
    <row r="96" customFormat="false" ht="22.35" hidden="false" customHeight="false" outlineLevel="0" collapsed="false">
      <c r="A96" s="24" t="s">
        <v>537</v>
      </c>
      <c r="B96" s="21" t="s">
        <v>75</v>
      </c>
      <c r="C96" s="21" t="s">
        <v>315</v>
      </c>
      <c r="D96" s="21" t="s">
        <v>538</v>
      </c>
      <c r="E96" s="21" t="s">
        <v>539</v>
      </c>
      <c r="F96" s="24" t="s">
        <v>318</v>
      </c>
      <c r="G96" s="21"/>
      <c r="H96" s="25" t="n">
        <v>3</v>
      </c>
      <c r="I96" s="24" t="s">
        <v>40</v>
      </c>
      <c r="J96" s="21" t="s">
        <v>540</v>
      </c>
      <c r="K96" s="24" t="s">
        <v>33</v>
      </c>
      <c r="L96" s="26" t="n">
        <v>0</v>
      </c>
      <c r="M96" s="25" t="n">
        <f aca="false">H96*(1-L96)</f>
        <v>3</v>
      </c>
      <c r="N96" s="24"/>
      <c r="O96" s="21" t="s">
        <v>541</v>
      </c>
    </row>
    <row r="97" customFormat="false" ht="22.35" hidden="false" customHeight="false" outlineLevel="0" collapsed="false">
      <c r="A97" s="24" t="s">
        <v>542</v>
      </c>
      <c r="B97" s="21" t="s">
        <v>75</v>
      </c>
      <c r="C97" s="21" t="s">
        <v>343</v>
      </c>
      <c r="D97" s="21" t="s">
        <v>543</v>
      </c>
      <c r="E97" s="21" t="s">
        <v>544</v>
      </c>
      <c r="F97" s="24" t="s">
        <v>318</v>
      </c>
      <c r="G97" s="21"/>
      <c r="H97" s="25" t="n">
        <v>4</v>
      </c>
      <c r="I97" s="24" t="s">
        <v>38</v>
      </c>
      <c r="J97" s="21" t="s">
        <v>545</v>
      </c>
      <c r="K97" s="24" t="s">
        <v>33</v>
      </c>
      <c r="L97" s="26" t="n">
        <v>0</v>
      </c>
      <c r="M97" s="25" t="n">
        <f aca="false">H97*(1-L97)</f>
        <v>4</v>
      </c>
      <c r="N97" s="24"/>
      <c r="O97" s="21"/>
    </row>
    <row r="98" customFormat="false" ht="22.35" hidden="false" customHeight="false" outlineLevel="0" collapsed="false">
      <c r="A98" s="24" t="s">
        <v>546</v>
      </c>
      <c r="B98" s="21" t="s">
        <v>76</v>
      </c>
      <c r="C98" s="21" t="s">
        <v>196</v>
      </c>
      <c r="D98" s="21" t="s">
        <v>547</v>
      </c>
      <c r="E98" s="21" t="s">
        <v>548</v>
      </c>
      <c r="F98" s="24" t="s">
        <v>179</v>
      </c>
      <c r="G98" s="21"/>
      <c r="H98" s="25" t="n">
        <v>4</v>
      </c>
      <c r="I98" s="24" t="s">
        <v>38</v>
      </c>
      <c r="J98" s="21" t="s">
        <v>427</v>
      </c>
      <c r="K98" s="24" t="s">
        <v>33</v>
      </c>
      <c r="L98" s="26" t="n">
        <v>0</v>
      </c>
      <c r="M98" s="25" t="n">
        <f aca="false">H98*(1-L98)</f>
        <v>4</v>
      </c>
      <c r="N98" s="24"/>
      <c r="O98" s="21" t="s">
        <v>549</v>
      </c>
    </row>
    <row r="99" customFormat="false" ht="15" hidden="false" customHeight="false" outlineLevel="0" collapsed="false">
      <c r="A99" s="24" t="s">
        <v>550</v>
      </c>
      <c r="B99" s="21" t="s">
        <v>76</v>
      </c>
      <c r="C99" s="21" t="s">
        <v>196</v>
      </c>
      <c r="D99" s="21" t="s">
        <v>551</v>
      </c>
      <c r="E99" s="21" t="s">
        <v>552</v>
      </c>
      <c r="F99" s="24" t="s">
        <v>188</v>
      </c>
      <c r="G99" s="21"/>
      <c r="H99" s="25" t="n">
        <v>5</v>
      </c>
      <c r="I99" s="24" t="s">
        <v>38</v>
      </c>
      <c r="J99" s="21" t="s">
        <v>553</v>
      </c>
      <c r="K99" s="24" t="s">
        <v>33</v>
      </c>
      <c r="L99" s="26" t="n">
        <v>0</v>
      </c>
      <c r="M99" s="25" t="n">
        <f aca="false">H99*(1-L99)</f>
        <v>5</v>
      </c>
      <c r="N99" s="24"/>
      <c r="O99" s="21"/>
    </row>
    <row r="100" customFormat="false" ht="22.35" hidden="false" customHeight="false" outlineLevel="0" collapsed="false">
      <c r="A100" s="24" t="s">
        <v>554</v>
      </c>
      <c r="B100" s="21" t="s">
        <v>76</v>
      </c>
      <c r="C100" s="21" t="s">
        <v>196</v>
      </c>
      <c r="D100" s="21" t="s">
        <v>555</v>
      </c>
      <c r="E100" s="21" t="s">
        <v>556</v>
      </c>
      <c r="F100" s="24" t="s">
        <v>188</v>
      </c>
      <c r="G100" s="21"/>
      <c r="H100" s="25" t="n">
        <v>6</v>
      </c>
      <c r="I100" s="24" t="s">
        <v>38</v>
      </c>
      <c r="J100" s="21" t="s">
        <v>557</v>
      </c>
      <c r="K100" s="24" t="s">
        <v>33</v>
      </c>
      <c r="L100" s="26" t="n">
        <v>0</v>
      </c>
      <c r="M100" s="25" t="n">
        <f aca="false">H100*(1-L100)</f>
        <v>6</v>
      </c>
      <c r="N100" s="24"/>
      <c r="O100" s="21"/>
    </row>
    <row r="101" customFormat="false" ht="22.35" hidden="false" customHeight="false" outlineLevel="0" collapsed="false">
      <c r="A101" s="24" t="s">
        <v>558</v>
      </c>
      <c r="B101" s="21" t="s">
        <v>76</v>
      </c>
      <c r="C101" s="21" t="s">
        <v>196</v>
      </c>
      <c r="D101" s="21" t="s">
        <v>559</v>
      </c>
      <c r="E101" s="21" t="s">
        <v>560</v>
      </c>
      <c r="F101" s="24" t="s">
        <v>188</v>
      </c>
      <c r="G101" s="21"/>
      <c r="H101" s="25" t="n">
        <v>5</v>
      </c>
      <c r="I101" s="24" t="s">
        <v>38</v>
      </c>
      <c r="J101" s="21" t="s">
        <v>561</v>
      </c>
      <c r="K101" s="24" t="s">
        <v>33</v>
      </c>
      <c r="L101" s="26" t="n">
        <v>0</v>
      </c>
      <c r="M101" s="25" t="n">
        <f aca="false">H101*(1-L101)</f>
        <v>5</v>
      </c>
      <c r="N101" s="24"/>
      <c r="O101" s="21" t="s">
        <v>562</v>
      </c>
    </row>
    <row r="102" customFormat="false" ht="15" hidden="false" customHeight="false" outlineLevel="0" collapsed="false">
      <c r="A102" s="24" t="s">
        <v>563</v>
      </c>
      <c r="B102" s="21" t="s">
        <v>76</v>
      </c>
      <c r="C102" s="21" t="s">
        <v>196</v>
      </c>
      <c r="D102" s="21" t="s">
        <v>564</v>
      </c>
      <c r="E102" s="21" t="s">
        <v>565</v>
      </c>
      <c r="F102" s="24" t="s">
        <v>188</v>
      </c>
      <c r="G102" s="21"/>
      <c r="H102" s="25" t="n">
        <v>5</v>
      </c>
      <c r="I102" s="24" t="s">
        <v>38</v>
      </c>
      <c r="J102" s="21" t="s">
        <v>561</v>
      </c>
      <c r="K102" s="24" t="s">
        <v>33</v>
      </c>
      <c r="L102" s="26" t="n">
        <v>0</v>
      </c>
      <c r="M102" s="25" t="n">
        <f aca="false">H102*(1-L102)</f>
        <v>5</v>
      </c>
      <c r="N102" s="24"/>
      <c r="O102" s="21" t="s">
        <v>566</v>
      </c>
    </row>
    <row r="103" customFormat="false" ht="15" hidden="false" customHeight="false" outlineLevel="0" collapsed="false">
      <c r="A103" s="24" t="s">
        <v>567</v>
      </c>
      <c r="B103" s="21" t="s">
        <v>76</v>
      </c>
      <c r="C103" s="21" t="s">
        <v>196</v>
      </c>
      <c r="D103" s="21" t="s">
        <v>568</v>
      </c>
      <c r="E103" s="21" t="s">
        <v>569</v>
      </c>
      <c r="F103" s="24" t="s">
        <v>188</v>
      </c>
      <c r="G103" s="21"/>
      <c r="H103" s="25" t="n">
        <v>2</v>
      </c>
      <c r="I103" s="24" t="s">
        <v>40</v>
      </c>
      <c r="J103" s="21" t="s">
        <v>561</v>
      </c>
      <c r="K103" s="24" t="s">
        <v>33</v>
      </c>
      <c r="L103" s="26" t="n">
        <v>0</v>
      </c>
      <c r="M103" s="25" t="n">
        <f aca="false">H103*(1-L103)</f>
        <v>2</v>
      </c>
      <c r="N103" s="24"/>
      <c r="O103" s="21" t="s">
        <v>570</v>
      </c>
    </row>
    <row r="104" customFormat="false" ht="22.35" hidden="false" customHeight="false" outlineLevel="0" collapsed="false">
      <c r="A104" s="24" t="s">
        <v>571</v>
      </c>
      <c r="B104" s="21" t="s">
        <v>76</v>
      </c>
      <c r="C104" s="21" t="s">
        <v>196</v>
      </c>
      <c r="D104" s="21" t="s">
        <v>572</v>
      </c>
      <c r="E104" s="21" t="s">
        <v>573</v>
      </c>
      <c r="F104" s="24" t="s">
        <v>179</v>
      </c>
      <c r="G104" s="21"/>
      <c r="H104" s="25" t="n">
        <v>1</v>
      </c>
      <c r="I104" s="24" t="s">
        <v>38</v>
      </c>
      <c r="J104" s="21"/>
      <c r="K104" s="24" t="s">
        <v>33</v>
      </c>
      <c r="L104" s="26" t="n">
        <v>0</v>
      </c>
      <c r="M104" s="25" t="n">
        <f aca="false">H104*(1-L104)</f>
        <v>1</v>
      </c>
      <c r="N104" s="24"/>
      <c r="O104" s="21" t="s">
        <v>574</v>
      </c>
    </row>
    <row r="105" customFormat="false" ht="22.35" hidden="false" customHeight="false" outlineLevel="0" collapsed="false">
      <c r="A105" s="24" t="s">
        <v>575</v>
      </c>
      <c r="B105" s="21" t="s">
        <v>76</v>
      </c>
      <c r="C105" s="21" t="s">
        <v>196</v>
      </c>
      <c r="D105" s="21" t="s">
        <v>576</v>
      </c>
      <c r="E105" s="21" t="s">
        <v>577</v>
      </c>
      <c r="F105" s="24" t="s">
        <v>188</v>
      </c>
      <c r="G105" s="21"/>
      <c r="H105" s="25" t="n">
        <v>6</v>
      </c>
      <c r="I105" s="24" t="s">
        <v>38</v>
      </c>
      <c r="J105" s="21" t="s">
        <v>561</v>
      </c>
      <c r="K105" s="24" t="s">
        <v>33</v>
      </c>
      <c r="L105" s="26" t="n">
        <v>0</v>
      </c>
      <c r="M105" s="25" t="n">
        <f aca="false">H105*(1-L105)</f>
        <v>6</v>
      </c>
      <c r="N105" s="24"/>
      <c r="O105" s="21" t="s">
        <v>578</v>
      </c>
    </row>
    <row r="106" customFormat="false" ht="22.35" hidden="false" customHeight="false" outlineLevel="0" collapsed="false">
      <c r="A106" s="24" t="s">
        <v>579</v>
      </c>
      <c r="B106" s="21" t="s">
        <v>76</v>
      </c>
      <c r="C106" s="21" t="s">
        <v>196</v>
      </c>
      <c r="D106" s="21" t="s">
        <v>580</v>
      </c>
      <c r="E106" s="21" t="s">
        <v>581</v>
      </c>
      <c r="F106" s="24" t="s">
        <v>188</v>
      </c>
      <c r="G106" s="21"/>
      <c r="H106" s="25" t="n">
        <v>8</v>
      </c>
      <c r="I106" s="24" t="s">
        <v>38</v>
      </c>
      <c r="J106" s="21" t="s">
        <v>561</v>
      </c>
      <c r="K106" s="24" t="s">
        <v>35</v>
      </c>
      <c r="L106" s="26" t="n">
        <v>0</v>
      </c>
      <c r="M106" s="25" t="n">
        <f aca="false">H106*(1-L106)</f>
        <v>8</v>
      </c>
      <c r="N106" s="24"/>
      <c r="O106" s="21" t="s">
        <v>582</v>
      </c>
    </row>
    <row r="107" customFormat="false" ht="15" hidden="false" customHeight="false" outlineLevel="0" collapsed="false">
      <c r="A107" s="24" t="s">
        <v>583</v>
      </c>
      <c r="B107" s="21" t="s">
        <v>76</v>
      </c>
      <c r="C107" s="21" t="s">
        <v>196</v>
      </c>
      <c r="D107" s="21" t="s">
        <v>584</v>
      </c>
      <c r="E107" s="21" t="s">
        <v>585</v>
      </c>
      <c r="F107" s="24" t="s">
        <v>188</v>
      </c>
      <c r="G107" s="21"/>
      <c r="H107" s="25" t="n">
        <v>6</v>
      </c>
      <c r="I107" s="24" t="s">
        <v>38</v>
      </c>
      <c r="J107" s="21" t="s">
        <v>586</v>
      </c>
      <c r="K107" s="24" t="s">
        <v>33</v>
      </c>
      <c r="L107" s="26" t="n">
        <v>0</v>
      </c>
      <c r="M107" s="25" t="n">
        <f aca="false">H107*(1-L107)</f>
        <v>6</v>
      </c>
      <c r="N107" s="24"/>
      <c r="O107" s="21" t="s">
        <v>587</v>
      </c>
    </row>
    <row r="108" customFormat="false" ht="22.35" hidden="false" customHeight="false" outlineLevel="0" collapsed="false">
      <c r="A108" s="24" t="s">
        <v>588</v>
      </c>
      <c r="B108" s="21" t="s">
        <v>76</v>
      </c>
      <c r="C108" s="21" t="s">
        <v>315</v>
      </c>
      <c r="D108" s="21" t="s">
        <v>589</v>
      </c>
      <c r="E108" s="21" t="s">
        <v>590</v>
      </c>
      <c r="F108" s="24" t="s">
        <v>318</v>
      </c>
      <c r="G108" s="21"/>
      <c r="H108" s="25" t="n">
        <v>6</v>
      </c>
      <c r="I108" s="24" t="s">
        <v>38</v>
      </c>
      <c r="J108" s="21" t="s">
        <v>591</v>
      </c>
      <c r="K108" s="24" t="s">
        <v>33</v>
      </c>
      <c r="L108" s="26" t="n">
        <v>0</v>
      </c>
      <c r="M108" s="25" t="n">
        <f aca="false">H108*(1-L108)</f>
        <v>6</v>
      </c>
      <c r="N108" s="24"/>
      <c r="O108" s="21"/>
    </row>
    <row r="109" customFormat="false" ht="22.35" hidden="false" customHeight="false" outlineLevel="0" collapsed="false">
      <c r="A109" s="24" t="s">
        <v>592</v>
      </c>
      <c r="B109" s="21" t="s">
        <v>76</v>
      </c>
      <c r="C109" s="21" t="s">
        <v>315</v>
      </c>
      <c r="D109" s="21" t="s">
        <v>593</v>
      </c>
      <c r="E109" s="21" t="s">
        <v>594</v>
      </c>
      <c r="F109" s="24" t="s">
        <v>318</v>
      </c>
      <c r="G109" s="21"/>
      <c r="H109" s="25" t="n">
        <v>5</v>
      </c>
      <c r="I109" s="24" t="s">
        <v>40</v>
      </c>
      <c r="J109" s="21" t="s">
        <v>561</v>
      </c>
      <c r="K109" s="24" t="s">
        <v>33</v>
      </c>
      <c r="L109" s="26" t="n">
        <v>0</v>
      </c>
      <c r="M109" s="25" t="n">
        <f aca="false">H109*(1-L109)</f>
        <v>5</v>
      </c>
      <c r="N109" s="24"/>
      <c r="O109" s="21"/>
    </row>
    <row r="110" customFormat="false" ht="22.35" hidden="false" customHeight="false" outlineLevel="0" collapsed="false">
      <c r="A110" s="24" t="s">
        <v>595</v>
      </c>
      <c r="B110" s="21" t="s">
        <v>76</v>
      </c>
      <c r="C110" s="21" t="s">
        <v>343</v>
      </c>
      <c r="D110" s="21" t="s">
        <v>596</v>
      </c>
      <c r="E110" s="21" t="s">
        <v>597</v>
      </c>
      <c r="F110" s="24" t="s">
        <v>318</v>
      </c>
      <c r="G110" s="21"/>
      <c r="H110" s="25" t="n">
        <v>4</v>
      </c>
      <c r="I110" s="24" t="s">
        <v>38</v>
      </c>
      <c r="J110" s="21" t="s">
        <v>598</v>
      </c>
      <c r="K110" s="24" t="s">
        <v>33</v>
      </c>
      <c r="L110" s="26" t="n">
        <v>0</v>
      </c>
      <c r="M110" s="25" t="n">
        <f aca="false">H110*(1-L110)</f>
        <v>4</v>
      </c>
      <c r="N110" s="24"/>
      <c r="O110" s="21"/>
    </row>
    <row r="111" customFormat="false" ht="15" hidden="false" customHeight="false" outlineLevel="0" collapsed="false">
      <c r="A111" s="24" t="s">
        <v>599</v>
      </c>
      <c r="B111" s="21" t="s">
        <v>77</v>
      </c>
      <c r="C111" s="21" t="s">
        <v>196</v>
      </c>
      <c r="D111" s="21" t="s">
        <v>600</v>
      </c>
      <c r="E111" s="21" t="s">
        <v>601</v>
      </c>
      <c r="F111" s="24" t="s">
        <v>188</v>
      </c>
      <c r="G111" s="21"/>
      <c r="H111" s="25" t="n">
        <v>4</v>
      </c>
      <c r="I111" s="24" t="s">
        <v>38</v>
      </c>
      <c r="J111" s="21" t="s">
        <v>305</v>
      </c>
      <c r="K111" s="24" t="s">
        <v>33</v>
      </c>
      <c r="L111" s="26" t="n">
        <v>0</v>
      </c>
      <c r="M111" s="25" t="n">
        <f aca="false">H111*(1-L111)</f>
        <v>4</v>
      </c>
      <c r="N111" s="24"/>
      <c r="O111" s="21" t="s">
        <v>602</v>
      </c>
    </row>
    <row r="112" customFormat="false" ht="15" hidden="false" customHeight="false" outlineLevel="0" collapsed="false">
      <c r="A112" s="24" t="s">
        <v>603</v>
      </c>
      <c r="B112" s="21" t="s">
        <v>77</v>
      </c>
      <c r="C112" s="21" t="s">
        <v>315</v>
      </c>
      <c r="D112" s="21" t="s">
        <v>604</v>
      </c>
      <c r="E112" s="21" t="s">
        <v>605</v>
      </c>
      <c r="F112" s="24" t="s">
        <v>318</v>
      </c>
      <c r="G112" s="21"/>
      <c r="H112" s="25" t="n">
        <v>3</v>
      </c>
      <c r="I112" s="24" t="s">
        <v>40</v>
      </c>
      <c r="J112" s="21" t="s">
        <v>606</v>
      </c>
      <c r="K112" s="24" t="s">
        <v>33</v>
      </c>
      <c r="L112" s="26" t="n">
        <v>0</v>
      </c>
      <c r="M112" s="25" t="n">
        <f aca="false">H112*(1-L112)</f>
        <v>3</v>
      </c>
      <c r="N112" s="24"/>
      <c r="O112" s="21"/>
    </row>
    <row r="113" customFormat="false" ht="15" hidden="false" customHeight="false" outlineLevel="0" collapsed="false">
      <c r="A113" s="24" t="s">
        <v>607</v>
      </c>
      <c r="B113" s="21" t="s">
        <v>77</v>
      </c>
      <c r="C113" s="21" t="s">
        <v>315</v>
      </c>
      <c r="D113" s="21" t="s">
        <v>608</v>
      </c>
      <c r="E113" s="21" t="s">
        <v>609</v>
      </c>
      <c r="F113" s="24" t="s">
        <v>318</v>
      </c>
      <c r="G113" s="21"/>
      <c r="H113" s="25" t="n">
        <v>3</v>
      </c>
      <c r="I113" s="24" t="s">
        <v>40</v>
      </c>
      <c r="J113" s="21" t="s">
        <v>531</v>
      </c>
      <c r="K113" s="24" t="s">
        <v>33</v>
      </c>
      <c r="L113" s="26" t="n">
        <v>0</v>
      </c>
      <c r="M113" s="25" t="n">
        <f aca="false">H113*(1-L113)</f>
        <v>3</v>
      </c>
      <c r="N113" s="24"/>
      <c r="O113" s="21"/>
    </row>
    <row r="114" customFormat="false" ht="15" hidden="false" customHeight="false" outlineLevel="0" collapsed="false">
      <c r="A114" s="24" t="s">
        <v>610</v>
      </c>
      <c r="B114" s="21" t="s">
        <v>77</v>
      </c>
      <c r="C114" s="21" t="s">
        <v>315</v>
      </c>
      <c r="D114" s="21" t="s">
        <v>611</v>
      </c>
      <c r="E114" s="21" t="s">
        <v>612</v>
      </c>
      <c r="F114" s="24" t="s">
        <v>318</v>
      </c>
      <c r="G114" s="21"/>
      <c r="H114" s="25" t="n">
        <v>4</v>
      </c>
      <c r="I114" s="24" t="s">
        <v>40</v>
      </c>
      <c r="J114" s="21" t="s">
        <v>531</v>
      </c>
      <c r="K114" s="24" t="s">
        <v>33</v>
      </c>
      <c r="L114" s="26" t="n">
        <v>0</v>
      </c>
      <c r="M114" s="25" t="n">
        <f aca="false">H114*(1-L114)</f>
        <v>4</v>
      </c>
      <c r="N114" s="24"/>
      <c r="O114" s="21"/>
    </row>
    <row r="115" customFormat="false" ht="15" hidden="false" customHeight="false" outlineLevel="0" collapsed="false">
      <c r="A115" s="24" t="s">
        <v>613</v>
      </c>
      <c r="B115" s="21" t="s">
        <v>77</v>
      </c>
      <c r="C115" s="21" t="s">
        <v>315</v>
      </c>
      <c r="D115" s="21" t="s">
        <v>614</v>
      </c>
      <c r="E115" s="21" t="s">
        <v>615</v>
      </c>
      <c r="F115" s="24" t="s">
        <v>318</v>
      </c>
      <c r="G115" s="21"/>
      <c r="H115" s="25" t="n">
        <v>2</v>
      </c>
      <c r="I115" s="24" t="s">
        <v>42</v>
      </c>
      <c r="J115" s="21" t="s">
        <v>616</v>
      </c>
      <c r="K115" s="24" t="s">
        <v>33</v>
      </c>
      <c r="L115" s="26" t="n">
        <v>0</v>
      </c>
      <c r="M115" s="25" t="n">
        <f aca="false">H115*(1-L115)</f>
        <v>2</v>
      </c>
      <c r="N115" s="24"/>
      <c r="O115" s="21"/>
    </row>
    <row r="116" customFormat="false" ht="15" hidden="false" customHeight="false" outlineLevel="0" collapsed="false">
      <c r="A116" s="24" t="s">
        <v>617</v>
      </c>
      <c r="B116" s="21" t="s">
        <v>77</v>
      </c>
      <c r="C116" s="21" t="s">
        <v>315</v>
      </c>
      <c r="D116" s="21" t="s">
        <v>618</v>
      </c>
      <c r="E116" s="21" t="s">
        <v>619</v>
      </c>
      <c r="F116" s="24" t="s">
        <v>318</v>
      </c>
      <c r="G116" s="21"/>
      <c r="H116" s="25" t="n">
        <v>4</v>
      </c>
      <c r="I116" s="24" t="s">
        <v>40</v>
      </c>
      <c r="J116" s="21" t="s">
        <v>531</v>
      </c>
      <c r="K116" s="24" t="s">
        <v>33</v>
      </c>
      <c r="L116" s="26" t="n">
        <v>0</v>
      </c>
      <c r="M116" s="25" t="n">
        <f aca="false">H116*(1-L116)</f>
        <v>4</v>
      </c>
      <c r="N116" s="24"/>
      <c r="O116" s="21"/>
    </row>
    <row r="117" customFormat="false" ht="22.35" hidden="false" customHeight="false" outlineLevel="0" collapsed="false">
      <c r="A117" s="24" t="s">
        <v>620</v>
      </c>
      <c r="B117" s="21" t="s">
        <v>77</v>
      </c>
      <c r="C117" s="21" t="s">
        <v>315</v>
      </c>
      <c r="D117" s="21" t="s">
        <v>621</v>
      </c>
      <c r="E117" s="21" t="s">
        <v>622</v>
      </c>
      <c r="F117" s="24" t="s">
        <v>318</v>
      </c>
      <c r="G117" s="21"/>
      <c r="H117" s="25" t="n">
        <v>5</v>
      </c>
      <c r="I117" s="24" t="s">
        <v>40</v>
      </c>
      <c r="J117" s="21" t="s">
        <v>274</v>
      </c>
      <c r="K117" s="24" t="s">
        <v>33</v>
      </c>
      <c r="L117" s="26" t="n">
        <v>0</v>
      </c>
      <c r="M117" s="25" t="n">
        <f aca="false">H117*(1-L117)</f>
        <v>5</v>
      </c>
      <c r="N117" s="24"/>
      <c r="O117" s="21"/>
    </row>
    <row r="118" customFormat="false" ht="22.35" hidden="false" customHeight="false" outlineLevel="0" collapsed="false">
      <c r="A118" s="24" t="s">
        <v>623</v>
      </c>
      <c r="B118" s="21" t="s">
        <v>77</v>
      </c>
      <c r="C118" s="21" t="s">
        <v>315</v>
      </c>
      <c r="D118" s="21" t="s">
        <v>624</v>
      </c>
      <c r="E118" s="21" t="s">
        <v>625</v>
      </c>
      <c r="F118" s="24" t="s">
        <v>318</v>
      </c>
      <c r="G118" s="21"/>
      <c r="H118" s="25" t="n">
        <v>8</v>
      </c>
      <c r="I118" s="24" t="s">
        <v>40</v>
      </c>
      <c r="J118" s="21" t="s">
        <v>626</v>
      </c>
      <c r="K118" s="24" t="s">
        <v>33</v>
      </c>
      <c r="L118" s="26" t="n">
        <v>0</v>
      </c>
      <c r="M118" s="25" t="n">
        <f aca="false">H118*(1-L118)</f>
        <v>8</v>
      </c>
      <c r="N118" s="24"/>
      <c r="O118" s="21"/>
    </row>
    <row r="119" customFormat="false" ht="22.35" hidden="false" customHeight="false" outlineLevel="0" collapsed="false">
      <c r="A119" s="24" t="s">
        <v>627</v>
      </c>
      <c r="B119" s="21" t="s">
        <v>77</v>
      </c>
      <c r="C119" s="21" t="s">
        <v>196</v>
      </c>
      <c r="D119" s="21" t="s">
        <v>628</v>
      </c>
      <c r="E119" s="21" t="s">
        <v>629</v>
      </c>
      <c r="F119" s="24" t="s">
        <v>188</v>
      </c>
      <c r="G119" s="21"/>
      <c r="H119" s="25" t="n">
        <v>3</v>
      </c>
      <c r="I119" s="24" t="s">
        <v>40</v>
      </c>
      <c r="J119" s="21" t="s">
        <v>305</v>
      </c>
      <c r="K119" s="24" t="s">
        <v>33</v>
      </c>
      <c r="L119" s="26" t="n">
        <v>0</v>
      </c>
      <c r="M119" s="25" t="n">
        <f aca="false">H119*(1-L119)</f>
        <v>3</v>
      </c>
      <c r="N119" s="24"/>
      <c r="O119" s="21"/>
    </row>
    <row r="120" customFormat="false" ht="15" hidden="false" customHeight="false" outlineLevel="0" collapsed="false">
      <c r="A120" s="24" t="s">
        <v>630</v>
      </c>
      <c r="B120" s="21" t="s">
        <v>77</v>
      </c>
      <c r="C120" s="21" t="s">
        <v>315</v>
      </c>
      <c r="D120" s="21" t="s">
        <v>631</v>
      </c>
      <c r="E120" s="21" t="s">
        <v>632</v>
      </c>
      <c r="F120" s="24" t="s">
        <v>318</v>
      </c>
      <c r="G120" s="21"/>
      <c r="H120" s="25" t="n">
        <v>3</v>
      </c>
      <c r="I120" s="24" t="s">
        <v>42</v>
      </c>
      <c r="J120" s="21" t="s">
        <v>633</v>
      </c>
      <c r="K120" s="24" t="s">
        <v>33</v>
      </c>
      <c r="L120" s="26" t="n">
        <v>0</v>
      </c>
      <c r="M120" s="25" t="n">
        <f aca="false">H120*(1-L120)</f>
        <v>3</v>
      </c>
      <c r="N120" s="24"/>
      <c r="O120" s="21"/>
    </row>
    <row r="121" customFormat="false" ht="22.35" hidden="false" customHeight="false" outlineLevel="0" collapsed="false">
      <c r="A121" s="24" t="s">
        <v>634</v>
      </c>
      <c r="B121" s="21" t="s">
        <v>77</v>
      </c>
      <c r="C121" s="21" t="s">
        <v>179</v>
      </c>
      <c r="D121" s="21" t="s">
        <v>635</v>
      </c>
      <c r="E121" s="21" t="s">
        <v>636</v>
      </c>
      <c r="F121" s="24" t="s">
        <v>179</v>
      </c>
      <c r="G121" s="21"/>
      <c r="H121" s="25" t="n">
        <v>2</v>
      </c>
      <c r="I121" s="24" t="s">
        <v>38</v>
      </c>
      <c r="J121" s="21" t="s">
        <v>626</v>
      </c>
      <c r="K121" s="24" t="s">
        <v>33</v>
      </c>
      <c r="L121" s="26" t="n">
        <v>0</v>
      </c>
      <c r="M121" s="25" t="n">
        <f aca="false">H121*(1-L121)</f>
        <v>2</v>
      </c>
      <c r="N121" s="24"/>
      <c r="O121" s="21" t="s">
        <v>637</v>
      </c>
    </row>
    <row r="122" customFormat="false" ht="15" hidden="false" customHeight="false" outlineLevel="0" collapsed="false">
      <c r="A122" s="24" t="s">
        <v>638</v>
      </c>
      <c r="B122" s="21" t="s">
        <v>78</v>
      </c>
      <c r="C122" s="21" t="s">
        <v>206</v>
      </c>
      <c r="D122" s="21" t="s">
        <v>639</v>
      </c>
      <c r="E122" s="21" t="s">
        <v>640</v>
      </c>
      <c r="F122" s="24" t="s">
        <v>179</v>
      </c>
      <c r="G122" s="21"/>
      <c r="H122" s="25" t="n">
        <v>5</v>
      </c>
      <c r="I122" s="24" t="s">
        <v>38</v>
      </c>
      <c r="J122" s="21" t="s">
        <v>641</v>
      </c>
      <c r="K122" s="24" t="s">
        <v>33</v>
      </c>
      <c r="L122" s="26" t="n">
        <v>0</v>
      </c>
      <c r="M122" s="25" t="n">
        <f aca="false">H122*(1-L122)</f>
        <v>5</v>
      </c>
      <c r="N122" s="24"/>
      <c r="O122" s="21"/>
    </row>
    <row r="123" customFormat="false" ht="15" hidden="false" customHeight="false" outlineLevel="0" collapsed="false">
      <c r="A123" s="24" t="s">
        <v>642</v>
      </c>
      <c r="B123" s="21" t="s">
        <v>78</v>
      </c>
      <c r="C123" s="21" t="s">
        <v>196</v>
      </c>
      <c r="D123" s="21" t="s">
        <v>643</v>
      </c>
      <c r="E123" s="21" t="s">
        <v>644</v>
      </c>
      <c r="F123" s="24" t="s">
        <v>188</v>
      </c>
      <c r="G123" s="21"/>
      <c r="H123" s="25" t="n">
        <v>4</v>
      </c>
      <c r="I123" s="24" t="s">
        <v>40</v>
      </c>
      <c r="J123" s="21" t="s">
        <v>645</v>
      </c>
      <c r="K123" s="24" t="s">
        <v>33</v>
      </c>
      <c r="L123" s="26" t="n">
        <v>0</v>
      </c>
      <c r="M123" s="25" t="n">
        <f aca="false">H123*(1-L123)</f>
        <v>4</v>
      </c>
      <c r="N123" s="24"/>
      <c r="O123" s="21"/>
    </row>
    <row r="124" customFormat="false" ht="15" hidden="false" customHeight="false" outlineLevel="0" collapsed="false">
      <c r="A124" s="24" t="s">
        <v>646</v>
      </c>
      <c r="B124" s="21" t="s">
        <v>78</v>
      </c>
      <c r="C124" s="21" t="s">
        <v>206</v>
      </c>
      <c r="D124" s="21" t="s">
        <v>647</v>
      </c>
      <c r="E124" s="21" t="s">
        <v>648</v>
      </c>
      <c r="F124" s="24" t="s">
        <v>179</v>
      </c>
      <c r="G124" s="21"/>
      <c r="H124" s="25" t="n">
        <v>3</v>
      </c>
      <c r="I124" s="24" t="s">
        <v>38</v>
      </c>
      <c r="J124" s="21" t="s">
        <v>649</v>
      </c>
      <c r="K124" s="24" t="s">
        <v>33</v>
      </c>
      <c r="L124" s="26" t="n">
        <v>0</v>
      </c>
      <c r="M124" s="25" t="n">
        <f aca="false">H124*(1-L124)</f>
        <v>3</v>
      </c>
      <c r="N124" s="24"/>
      <c r="O124" s="21"/>
    </row>
    <row r="125" customFormat="false" ht="15" hidden="false" customHeight="false" outlineLevel="0" collapsed="false">
      <c r="A125" s="24" t="s">
        <v>650</v>
      </c>
      <c r="B125" s="21" t="s">
        <v>78</v>
      </c>
      <c r="C125" s="21" t="s">
        <v>206</v>
      </c>
      <c r="D125" s="21" t="s">
        <v>651</v>
      </c>
      <c r="E125" s="21" t="s">
        <v>652</v>
      </c>
      <c r="F125" s="24" t="s">
        <v>179</v>
      </c>
      <c r="G125" s="21"/>
      <c r="H125" s="25" t="n">
        <v>5</v>
      </c>
      <c r="I125" s="24" t="s">
        <v>38</v>
      </c>
      <c r="J125" s="21" t="s">
        <v>653</v>
      </c>
      <c r="K125" s="24" t="s">
        <v>33</v>
      </c>
      <c r="L125" s="26" t="n">
        <v>0</v>
      </c>
      <c r="M125" s="25" t="n">
        <f aca="false">H125*(1-L125)</f>
        <v>5</v>
      </c>
      <c r="N125" s="24"/>
      <c r="O125" s="21"/>
    </row>
    <row r="126" customFormat="false" ht="22.35" hidden="false" customHeight="false" outlineLevel="0" collapsed="false">
      <c r="A126" s="24" t="s">
        <v>654</v>
      </c>
      <c r="B126" s="21" t="s">
        <v>78</v>
      </c>
      <c r="C126" s="21" t="s">
        <v>179</v>
      </c>
      <c r="D126" s="21" t="s">
        <v>655</v>
      </c>
      <c r="E126" s="21" t="s">
        <v>656</v>
      </c>
      <c r="F126" s="24" t="s">
        <v>179</v>
      </c>
      <c r="G126" s="21"/>
      <c r="H126" s="25" t="n">
        <v>3</v>
      </c>
      <c r="I126" s="24" t="s">
        <v>38</v>
      </c>
      <c r="J126" s="21"/>
      <c r="K126" s="24" t="s">
        <v>33</v>
      </c>
      <c r="L126" s="26" t="n">
        <v>0</v>
      </c>
      <c r="M126" s="25" t="n">
        <f aca="false">H126*(1-L126)</f>
        <v>3</v>
      </c>
      <c r="N126" s="24"/>
      <c r="O126" s="21" t="s">
        <v>657</v>
      </c>
    </row>
    <row r="127" customFormat="false" ht="15" hidden="false" customHeight="false" outlineLevel="0" collapsed="false">
      <c r="A127" s="24" t="s">
        <v>658</v>
      </c>
      <c r="B127" s="21" t="s">
        <v>78</v>
      </c>
      <c r="C127" s="21" t="s">
        <v>196</v>
      </c>
      <c r="D127" s="21" t="s">
        <v>659</v>
      </c>
      <c r="E127" s="21" t="s">
        <v>660</v>
      </c>
      <c r="F127" s="24" t="s">
        <v>188</v>
      </c>
      <c r="G127" s="21"/>
      <c r="H127" s="25" t="n">
        <v>4</v>
      </c>
      <c r="I127" s="24" t="s">
        <v>42</v>
      </c>
      <c r="J127" s="21" t="s">
        <v>653</v>
      </c>
      <c r="K127" s="24" t="s">
        <v>33</v>
      </c>
      <c r="L127" s="26" t="n">
        <v>0</v>
      </c>
      <c r="M127" s="25" t="n">
        <f aca="false">H127*(1-L127)</f>
        <v>4</v>
      </c>
      <c r="N127" s="24"/>
      <c r="O127" s="21"/>
    </row>
    <row r="128" customFormat="false" ht="15" hidden="false" customHeight="false" outlineLevel="0" collapsed="false">
      <c r="A128" s="24" t="s">
        <v>661</v>
      </c>
      <c r="B128" s="21" t="s">
        <v>78</v>
      </c>
      <c r="C128" s="21" t="s">
        <v>179</v>
      </c>
      <c r="D128" s="21" t="s">
        <v>662</v>
      </c>
      <c r="E128" s="21" t="s">
        <v>663</v>
      </c>
      <c r="F128" s="24" t="s">
        <v>179</v>
      </c>
      <c r="G128" s="21"/>
      <c r="H128" s="25" t="n">
        <v>3</v>
      </c>
      <c r="I128" s="24" t="s">
        <v>38</v>
      </c>
      <c r="J128" s="21" t="s">
        <v>427</v>
      </c>
      <c r="K128" s="24" t="s">
        <v>33</v>
      </c>
      <c r="L128" s="26" t="n">
        <v>0</v>
      </c>
      <c r="M128" s="25" t="n">
        <f aca="false">H128*(1-L128)</f>
        <v>3</v>
      </c>
      <c r="N128" s="24"/>
      <c r="O128" s="21"/>
    </row>
    <row r="129" customFormat="false" ht="15" hidden="false" customHeight="false" outlineLevel="0" collapsed="false">
      <c r="A129" s="24" t="s">
        <v>664</v>
      </c>
      <c r="B129" s="21" t="s">
        <v>78</v>
      </c>
      <c r="C129" s="21" t="s">
        <v>423</v>
      </c>
      <c r="D129" s="21" t="s">
        <v>665</v>
      </c>
      <c r="E129" s="21" t="s">
        <v>666</v>
      </c>
      <c r="F129" s="24" t="s">
        <v>426</v>
      </c>
      <c r="G129" s="21"/>
      <c r="H129" s="25" t="n">
        <v>4</v>
      </c>
      <c r="I129" s="24" t="s">
        <v>38</v>
      </c>
      <c r="J129" s="21" t="s">
        <v>641</v>
      </c>
      <c r="K129" s="24" t="s">
        <v>33</v>
      </c>
      <c r="L129" s="26" t="n">
        <v>0</v>
      </c>
      <c r="M129" s="25" t="n">
        <f aca="false">H129*(1-L129)</f>
        <v>4</v>
      </c>
      <c r="N129" s="24"/>
      <c r="O129" s="21"/>
    </row>
    <row r="131" customFormat="false" ht="15" hidden="false" customHeight="false" outlineLevel="0" collapsed="false">
      <c r="D131" s="16" t="s">
        <v>667</v>
      </c>
      <c r="H131" s="27" t="n">
        <f aca="false">SUM(H5:H129)</f>
        <v>441.5</v>
      </c>
      <c r="M131" s="27" t="n">
        <f aca="false">SUM(M5:M129)</f>
        <v>420.65</v>
      </c>
    </row>
  </sheetData>
  <autoFilter ref="A4:O129"/>
  <mergeCells count="2">
    <mergeCell ref="A1:O1"/>
    <mergeCell ref="A2:O2"/>
  </mergeCells>
  <conditionalFormatting sqref="K5:K129">
    <cfRule type="cellIs" priority="2" operator="equal" aboveAverage="0" equalAverage="0" bottom="0" percent="0" rank="0" text="" dxfId="1">
      <formula>"Đã xong"</formula>
    </cfRule>
    <cfRule type="cellIs" priority="3" operator="equal" aboveAverage="0" equalAverage="0" bottom="0" percent="0" rank="0" text="" dxfId="2">
      <formula>"Đang làm"</formula>
    </cfRule>
    <cfRule type="cellIs" priority="4" operator="equal" aboveAverage="0" equalAverage="0" bottom="0" percent="0" rank="0" text="" dxfId="0">
      <formula>"Bị chặn"</formula>
    </cfRule>
    <cfRule type="cellIs" priority="5" operator="equal" aboveAverage="0" equalAverage="0" bottom="0" percent="0" rank="0" text="" dxfId="11">
      <formula>"Chưa bắt đầu"</formula>
    </cfRule>
  </conditionalFormatting>
  <conditionalFormatting sqref="L5:L129">
    <cfRule type="dataBar" priority="6">
      <dataBar showValue="1" minLength="10" maxLength="90"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{E6ABD13B-60D3-45A0-B1B3-5DA3F8417C30}</x14:id>
        </ext>
      </extLst>
    </cfRule>
  </conditionalFormatting>
  <conditionalFormatting sqref="I5:I129">
    <cfRule type="cellIs" priority="7" operator="equal" aboveAverage="0" equalAverage="0" bottom="0" percent="0" rank="0" text="" dxfId="12">
      <formula>"P0-Bắt buộc"</formula>
    </cfRule>
  </conditionalFormatting>
  <dataValidations count="2">
    <dataValidation allowBlank="true" errorStyle="stop" operator="between" showDropDown="false" showErrorMessage="false" showInputMessage="false" sqref="K5:K129" type="list">
      <formula1>Lists!$A$2:$A$5</formula1>
      <formula2>0</formula2>
    </dataValidation>
    <dataValidation allowBlank="true" errorStyle="stop" operator="between" showDropDown="false" showErrorMessage="false" showInputMessage="false" sqref="I5:I129" type="list">
      <formula1>Lists!$B$2:$B$5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ABD13B-60D3-45A0-B1B3-5DA3F8417C3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C384"/>
              <x14:axisColor rgb="FF000000"/>
            </x14:dataBar>
          </x14:cfRule>
          <xm:sqref>L5:L129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5" hidden="false" customHeight="false" outlineLevel="0" collapsed="false">
      <c r="A1" s="28" t="s">
        <v>173</v>
      </c>
      <c r="B1" s="28" t="s">
        <v>171</v>
      </c>
      <c r="C1" s="28" t="s">
        <v>168</v>
      </c>
      <c r="D1" s="28" t="s">
        <v>64</v>
      </c>
    </row>
    <row r="2" customFormat="false" ht="15" hidden="false" customHeight="false" outlineLevel="0" collapsed="false">
      <c r="A2" s="5" t="s">
        <v>33</v>
      </c>
      <c r="B2" s="5" t="s">
        <v>38</v>
      </c>
      <c r="C2" s="5" t="s">
        <v>179</v>
      </c>
      <c r="D2" s="5" t="s">
        <v>71</v>
      </c>
    </row>
    <row r="3" customFormat="false" ht="15" hidden="false" customHeight="false" outlineLevel="0" collapsed="false">
      <c r="A3" s="5" t="s">
        <v>31</v>
      </c>
      <c r="B3" s="5" t="s">
        <v>40</v>
      </c>
      <c r="C3" s="5" t="s">
        <v>188</v>
      </c>
      <c r="D3" s="5" t="s">
        <v>72</v>
      </c>
    </row>
    <row r="4" customFormat="false" ht="15" hidden="false" customHeight="false" outlineLevel="0" collapsed="false">
      <c r="A4" s="5" t="s">
        <v>29</v>
      </c>
      <c r="B4" s="5" t="s">
        <v>42</v>
      </c>
      <c r="C4" s="5" t="s">
        <v>426</v>
      </c>
      <c r="D4" s="5" t="s">
        <v>73</v>
      </c>
    </row>
    <row r="5" customFormat="false" ht="15" hidden="false" customHeight="false" outlineLevel="0" collapsed="false">
      <c r="A5" s="5" t="s">
        <v>35</v>
      </c>
      <c r="B5" s="5" t="s">
        <v>44</v>
      </c>
      <c r="C5" s="5" t="s">
        <v>318</v>
      </c>
      <c r="D5" s="5" t="s">
        <v>74</v>
      </c>
    </row>
    <row r="6" customFormat="false" ht="15" hidden="false" customHeight="false" outlineLevel="0" collapsed="false">
      <c r="D6" s="5" t="s">
        <v>75</v>
      </c>
    </row>
    <row r="7" customFormat="false" ht="15" hidden="false" customHeight="false" outlineLevel="0" collapsed="false">
      <c r="D7" s="5" t="s">
        <v>76</v>
      </c>
    </row>
    <row r="8" customFormat="false" ht="15" hidden="false" customHeight="false" outlineLevel="0" collapsed="false">
      <c r="D8" s="5" t="s">
        <v>77</v>
      </c>
    </row>
    <row r="9" customFormat="false" ht="15" hidden="false" customHeight="false" outlineLevel="0" collapsed="false">
      <c r="D9" s="5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46"/>
  </cols>
  <sheetData>
    <row r="1" customFormat="false" ht="24" hidden="false" customHeight="true" outlineLevel="0" collapsed="false">
      <c r="A1" s="1" t="s">
        <v>668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669</v>
      </c>
      <c r="B2" s="2"/>
      <c r="C2" s="2"/>
      <c r="D2" s="2"/>
      <c r="E2" s="2"/>
      <c r="F2" s="2"/>
      <c r="G2" s="2"/>
      <c r="H2" s="2"/>
      <c r="I2" s="2"/>
    </row>
    <row r="4" customFormat="false" ht="31.5" hidden="false" customHeight="true" outlineLevel="0" collapsed="false">
      <c r="A4" s="7" t="s">
        <v>670</v>
      </c>
      <c r="B4" s="7" t="s">
        <v>168</v>
      </c>
      <c r="C4" s="7" t="s">
        <v>671</v>
      </c>
      <c r="D4" s="7" t="s">
        <v>672</v>
      </c>
      <c r="E4" s="7" t="s">
        <v>673</v>
      </c>
      <c r="F4" s="7" t="s">
        <v>674</v>
      </c>
      <c r="G4" s="7" t="s">
        <v>675</v>
      </c>
      <c r="H4" s="7" t="s">
        <v>676</v>
      </c>
      <c r="I4" s="7" t="s">
        <v>677</v>
      </c>
    </row>
    <row r="5" customFormat="false" ht="23.85" hidden="false" customHeight="false" outlineLevel="0" collapsed="false">
      <c r="A5" s="8" t="s">
        <v>179</v>
      </c>
      <c r="B5" s="8" t="s">
        <v>678</v>
      </c>
      <c r="C5" s="8" t="s">
        <v>679</v>
      </c>
      <c r="D5" s="9" t="n">
        <v>8</v>
      </c>
      <c r="E5" s="11" t="n">
        <v>0.7</v>
      </c>
      <c r="F5" s="10" t="n">
        <f aca="false">D5*E5</f>
        <v>5.6</v>
      </c>
      <c r="G5" s="10" t="n">
        <f aca="false">SUMIFS(Backlog!$M$5:$M$129,Backlog!$F$5:$F$129,$A5)</f>
        <v>41.35</v>
      </c>
      <c r="H5" s="10" t="n">
        <f aca="false">IFERROR(ROUND(G5/F5,1),0)</f>
        <v>7.4</v>
      </c>
      <c r="I5" s="8" t="s">
        <v>680</v>
      </c>
    </row>
    <row r="6" customFormat="false" ht="23.85" hidden="false" customHeight="false" outlineLevel="0" collapsed="false">
      <c r="A6" s="8" t="s">
        <v>188</v>
      </c>
      <c r="B6" s="8" t="s">
        <v>681</v>
      </c>
      <c r="C6" s="8" t="s">
        <v>682</v>
      </c>
      <c r="D6" s="9" t="n">
        <v>8</v>
      </c>
      <c r="E6" s="11" t="n">
        <v>0.9</v>
      </c>
      <c r="F6" s="10" t="n">
        <f aca="false">D6*E6</f>
        <v>7.2</v>
      </c>
      <c r="G6" s="10" t="n">
        <f aca="false">SUMIFS(Backlog!$M$5:$M$129,Backlog!$F$5:$F$129,$A6)</f>
        <v>161.3</v>
      </c>
      <c r="H6" s="10" t="n">
        <f aca="false">IFERROR(ROUND(G6/F6,1),0)</f>
        <v>22.4</v>
      </c>
      <c r="I6" s="8"/>
    </row>
    <row r="7" customFormat="false" ht="23.85" hidden="false" customHeight="false" outlineLevel="0" collapsed="false">
      <c r="A7" s="8" t="s">
        <v>426</v>
      </c>
      <c r="B7" s="8" t="s">
        <v>683</v>
      </c>
      <c r="C7" s="8" t="s">
        <v>684</v>
      </c>
      <c r="D7" s="9" t="n">
        <v>8</v>
      </c>
      <c r="E7" s="11" t="n">
        <v>0.9</v>
      </c>
      <c r="F7" s="10" t="n">
        <f aca="false">D7*E7</f>
        <v>7.2</v>
      </c>
      <c r="G7" s="10" t="n">
        <f aca="false">SUMIFS(Backlog!$M$5:$M$129,Backlog!$F$5:$F$129,$A7)</f>
        <v>104</v>
      </c>
      <c r="H7" s="10" t="n">
        <f aca="false">IFERROR(ROUND(G7/F7,1),0)</f>
        <v>14.4</v>
      </c>
      <c r="I7" s="8" t="s">
        <v>685</v>
      </c>
    </row>
    <row r="8" customFormat="false" ht="15" hidden="false" customHeight="false" outlineLevel="0" collapsed="false">
      <c r="A8" s="8" t="s">
        <v>318</v>
      </c>
      <c r="B8" s="8" t="s">
        <v>686</v>
      </c>
      <c r="C8" s="8" t="s">
        <v>687</v>
      </c>
      <c r="D8" s="9" t="n">
        <v>8</v>
      </c>
      <c r="E8" s="11" t="n">
        <v>0.9</v>
      </c>
      <c r="F8" s="10" t="n">
        <f aca="false">D8*E8</f>
        <v>7.2</v>
      </c>
      <c r="G8" s="10" t="n">
        <f aca="false">SUMIFS(Backlog!$M$5:$M$129,Backlog!$F$5:$F$129,$A8)</f>
        <v>114</v>
      </c>
      <c r="H8" s="10" t="n">
        <f aca="false">IFERROR(ROUND(G8/F8,1),0)</f>
        <v>15.8</v>
      </c>
      <c r="I8" s="8" t="s">
        <v>688</v>
      </c>
    </row>
    <row r="9" customFormat="false" ht="15" hidden="false" customHeight="false" outlineLevel="0" collapsed="false">
      <c r="A9" s="12"/>
      <c r="B9" s="12" t="s">
        <v>689</v>
      </c>
      <c r="C9" s="12"/>
      <c r="D9" s="13"/>
      <c r="E9" s="15"/>
      <c r="F9" s="14" t="n">
        <f aca="false">SUM(F5:F8)</f>
        <v>27.2</v>
      </c>
      <c r="G9" s="14" t="n">
        <f aca="false">SUM(G5:G8)</f>
        <v>420.65</v>
      </c>
      <c r="H9" s="14"/>
      <c r="I9" s="12"/>
    </row>
    <row r="11" customFormat="false" ht="15" hidden="false" customHeight="false" outlineLevel="0" collapsed="false">
      <c r="A11" s="6" t="s">
        <v>690</v>
      </c>
    </row>
    <row r="12" customFormat="false" ht="15" hidden="false" customHeight="false" outlineLevel="0" collapsed="false">
      <c r="A12" s="29" t="s">
        <v>691</v>
      </c>
      <c r="B12" s="29"/>
      <c r="C12" s="29"/>
      <c r="D12" s="29"/>
      <c r="E12" s="29"/>
      <c r="F12" s="29"/>
      <c r="G12" s="29"/>
      <c r="H12" s="29"/>
      <c r="I12" s="29"/>
    </row>
    <row r="13" customFormat="false" ht="15" hidden="false" customHeight="false" outlineLevel="0" collapsed="false">
      <c r="A13" s="29" t="s">
        <v>692</v>
      </c>
      <c r="B13" s="29"/>
      <c r="C13" s="29"/>
      <c r="D13" s="29"/>
      <c r="E13" s="29"/>
      <c r="F13" s="29"/>
      <c r="G13" s="29"/>
      <c r="H13" s="29"/>
      <c r="I13" s="29"/>
    </row>
    <row r="14" customFormat="false" ht="15" hidden="false" customHeight="false" outlineLevel="0" collapsed="false">
      <c r="A14" s="29" t="s">
        <v>693</v>
      </c>
      <c r="B14" s="29"/>
      <c r="C14" s="29"/>
      <c r="D14" s="29"/>
      <c r="E14" s="29"/>
      <c r="F14" s="29"/>
      <c r="G14" s="29"/>
      <c r="H14" s="29"/>
      <c r="I14" s="29"/>
    </row>
    <row r="15" customFormat="false" ht="15" hidden="false" customHeight="false" outlineLevel="0" collapsed="false">
      <c r="A15" s="29" t="s">
        <v>694</v>
      </c>
      <c r="B15" s="29"/>
      <c r="C15" s="29"/>
      <c r="D15" s="29"/>
      <c r="E15" s="29"/>
      <c r="F15" s="29"/>
      <c r="G15" s="29"/>
      <c r="H15" s="29"/>
      <c r="I15" s="29"/>
    </row>
    <row r="16" customFormat="false" ht="15" hidden="false" customHeight="false" outlineLevel="0" collapsed="false">
      <c r="A16" s="29" t="s">
        <v>695</v>
      </c>
      <c r="B16" s="29"/>
      <c r="C16" s="29"/>
      <c r="D16" s="29"/>
      <c r="E16" s="29"/>
      <c r="F16" s="29"/>
      <c r="G16" s="29"/>
      <c r="H16" s="29"/>
      <c r="I16" s="29"/>
    </row>
  </sheetData>
  <mergeCells count="7">
    <mergeCell ref="A1:I1"/>
    <mergeCell ref="A2:I2"/>
    <mergeCell ref="A12:I12"/>
    <mergeCell ref="A13:I13"/>
    <mergeCell ref="A14:I14"/>
    <mergeCell ref="A15:I15"/>
    <mergeCell ref="A16:I16"/>
  </mergeCells>
  <conditionalFormatting sqref="H5:H8">
    <cfRule type="cellIs" priority="2" operator="greaterThan" aboveAverage="0" equalAverage="0" bottom="0" percent="0" rank="0" text="" dxfId="13">
      <formula>12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6"/>
    <col collapsed="false" customWidth="true" hidden="false" outlineLevel="0" max="4" min="4" style="0" width="70"/>
    <col collapsed="false" customWidth="true" hidden="false" outlineLevel="0" max="5" min="5" style="0" width="44"/>
  </cols>
  <sheetData>
    <row r="1" customFormat="false" ht="24" hidden="false" customHeight="true" outlineLevel="0" collapsed="false">
      <c r="A1" s="1" t="s">
        <v>696</v>
      </c>
      <c r="B1" s="1"/>
      <c r="C1" s="1"/>
      <c r="D1" s="1"/>
      <c r="E1" s="1"/>
    </row>
    <row r="2" customFormat="false" ht="15" hidden="false" customHeight="false" outlineLevel="0" collapsed="false">
      <c r="A2" s="2" t="s">
        <v>697</v>
      </c>
      <c r="B2" s="2"/>
      <c r="C2" s="2"/>
      <c r="D2" s="2"/>
      <c r="E2" s="2"/>
    </row>
    <row r="4" customFormat="false" ht="31.5" hidden="false" customHeight="true" outlineLevel="0" collapsed="false">
      <c r="A4" s="7" t="s">
        <v>11</v>
      </c>
      <c r="B4" s="7" t="s">
        <v>698</v>
      </c>
      <c r="C4" s="7" t="s">
        <v>699</v>
      </c>
      <c r="D4" s="7" t="s">
        <v>700</v>
      </c>
      <c r="E4" s="7" t="s">
        <v>701</v>
      </c>
    </row>
    <row r="5" customFormat="false" ht="15" hidden="false" customHeight="false" outlineLevel="0" collapsed="false">
      <c r="A5" s="9" t="s">
        <v>702</v>
      </c>
      <c r="B5" s="9" t="s">
        <v>703</v>
      </c>
      <c r="C5" s="9" t="s">
        <v>155</v>
      </c>
      <c r="D5" s="8" t="s">
        <v>704</v>
      </c>
      <c r="E5" s="8"/>
    </row>
    <row r="6" customFormat="false" ht="15" hidden="false" customHeight="false" outlineLevel="0" collapsed="false">
      <c r="A6" s="30" t="s">
        <v>705</v>
      </c>
      <c r="B6" s="30" t="s">
        <v>706</v>
      </c>
      <c r="C6" s="30" t="s">
        <v>155</v>
      </c>
      <c r="D6" s="31" t="s">
        <v>707</v>
      </c>
      <c r="E6" s="32" t="s">
        <v>708</v>
      </c>
    </row>
    <row r="7" customFormat="false" ht="15" hidden="false" customHeight="false" outlineLevel="0" collapsed="false">
      <c r="A7" s="9" t="s">
        <v>709</v>
      </c>
      <c r="B7" s="9" t="s">
        <v>710</v>
      </c>
      <c r="C7" s="9" t="s">
        <v>711</v>
      </c>
      <c r="D7" s="8" t="s">
        <v>712</v>
      </c>
      <c r="E7" s="8"/>
    </row>
    <row r="8" customFormat="false" ht="15" hidden="false" customHeight="false" outlineLevel="0" collapsed="false">
      <c r="A8" s="9" t="s">
        <v>713</v>
      </c>
      <c r="B8" s="9" t="s">
        <v>714</v>
      </c>
      <c r="C8" s="9" t="s">
        <v>715</v>
      </c>
      <c r="D8" s="8" t="s">
        <v>716</v>
      </c>
      <c r="E8" s="8"/>
    </row>
    <row r="9" customFormat="false" ht="15" hidden="false" customHeight="false" outlineLevel="0" collapsed="false">
      <c r="A9" s="30" t="s">
        <v>717</v>
      </c>
      <c r="B9" s="30" t="s">
        <v>718</v>
      </c>
      <c r="C9" s="30" t="s">
        <v>715</v>
      </c>
      <c r="D9" s="31" t="s">
        <v>719</v>
      </c>
      <c r="E9" s="32" t="s">
        <v>720</v>
      </c>
    </row>
    <row r="10" customFormat="false" ht="15" hidden="false" customHeight="false" outlineLevel="0" collapsed="false">
      <c r="A10" s="30" t="s">
        <v>721</v>
      </c>
      <c r="B10" s="30" t="s">
        <v>722</v>
      </c>
      <c r="C10" s="30" t="s">
        <v>715</v>
      </c>
      <c r="D10" s="31" t="s">
        <v>723</v>
      </c>
      <c r="E10" s="32" t="s">
        <v>724</v>
      </c>
    </row>
    <row r="11" customFormat="false" ht="15" hidden="false" customHeight="false" outlineLevel="0" collapsed="false">
      <c r="A11" s="9" t="s">
        <v>725</v>
      </c>
      <c r="B11" s="9" t="s">
        <v>726</v>
      </c>
      <c r="C11" s="9" t="s">
        <v>727</v>
      </c>
      <c r="D11" s="8" t="s">
        <v>728</v>
      </c>
      <c r="E11" s="8"/>
    </row>
    <row r="12" customFormat="false" ht="15" hidden="false" customHeight="false" outlineLevel="0" collapsed="false">
      <c r="A12" s="9" t="s">
        <v>729</v>
      </c>
      <c r="B12" s="9" t="s">
        <v>730</v>
      </c>
      <c r="C12" s="9" t="s">
        <v>727</v>
      </c>
      <c r="D12" s="8" t="s">
        <v>731</v>
      </c>
      <c r="E12" s="8"/>
    </row>
    <row r="13" customFormat="false" ht="15" hidden="false" customHeight="false" outlineLevel="0" collapsed="false">
      <c r="A13" s="30" t="s">
        <v>732</v>
      </c>
      <c r="B13" s="30" t="s">
        <v>733</v>
      </c>
      <c r="C13" s="30" t="s">
        <v>727</v>
      </c>
      <c r="D13" s="31" t="s">
        <v>734</v>
      </c>
      <c r="E13" s="32" t="s">
        <v>735</v>
      </c>
    </row>
    <row r="14" customFormat="false" ht="23.85" hidden="false" customHeight="false" outlineLevel="0" collapsed="false">
      <c r="A14" s="30" t="s">
        <v>736</v>
      </c>
      <c r="B14" s="30" t="s">
        <v>737</v>
      </c>
      <c r="C14" s="30" t="s">
        <v>738</v>
      </c>
      <c r="D14" s="31" t="s">
        <v>739</v>
      </c>
      <c r="E14" s="32" t="s">
        <v>740</v>
      </c>
    </row>
    <row r="15" customFormat="false" ht="15" hidden="false" customHeight="false" outlineLevel="0" collapsed="false">
      <c r="A15" s="9" t="s">
        <v>741</v>
      </c>
      <c r="B15" s="9" t="s">
        <v>742</v>
      </c>
      <c r="C15" s="9" t="s">
        <v>738</v>
      </c>
      <c r="D15" s="8" t="s">
        <v>743</v>
      </c>
      <c r="E15" s="8"/>
    </row>
    <row r="16" customFormat="false" ht="15" hidden="false" customHeight="false" outlineLevel="0" collapsed="false">
      <c r="A16" s="9" t="s">
        <v>744</v>
      </c>
      <c r="B16" s="9" t="s">
        <v>745</v>
      </c>
      <c r="C16" s="9" t="s">
        <v>738</v>
      </c>
      <c r="D16" s="8" t="s">
        <v>746</v>
      </c>
      <c r="E16" s="8"/>
    </row>
    <row r="17" customFormat="false" ht="15" hidden="false" customHeight="false" outlineLevel="0" collapsed="false">
      <c r="A17" s="30" t="s">
        <v>747</v>
      </c>
      <c r="B17" s="30" t="s">
        <v>748</v>
      </c>
      <c r="C17" s="30" t="s">
        <v>738</v>
      </c>
      <c r="D17" s="31" t="s">
        <v>749</v>
      </c>
      <c r="E17" s="32" t="s">
        <v>750</v>
      </c>
    </row>
    <row r="18" customFormat="false" ht="15" hidden="false" customHeight="false" outlineLevel="0" collapsed="false">
      <c r="A18" s="9" t="s">
        <v>751</v>
      </c>
      <c r="B18" s="9" t="s">
        <v>752</v>
      </c>
      <c r="C18" s="9" t="s">
        <v>753</v>
      </c>
      <c r="D18" s="8" t="s">
        <v>754</v>
      </c>
      <c r="E18" s="8"/>
    </row>
    <row r="19" customFormat="false" ht="15" hidden="false" customHeight="false" outlineLevel="0" collapsed="false">
      <c r="A19" s="9" t="s">
        <v>755</v>
      </c>
      <c r="B19" s="9" t="s">
        <v>756</v>
      </c>
      <c r="C19" s="9" t="s">
        <v>753</v>
      </c>
      <c r="D19" s="8" t="s">
        <v>757</v>
      </c>
      <c r="E19" s="8"/>
    </row>
    <row r="20" customFormat="false" ht="15" hidden="false" customHeight="false" outlineLevel="0" collapsed="false">
      <c r="A20" s="30" t="s">
        <v>758</v>
      </c>
      <c r="B20" s="30" t="s">
        <v>759</v>
      </c>
      <c r="C20" s="30" t="s">
        <v>760</v>
      </c>
      <c r="D20" s="31" t="s">
        <v>761</v>
      </c>
      <c r="E20" s="32" t="s">
        <v>762</v>
      </c>
    </row>
    <row r="21" customFormat="false" ht="15" hidden="false" customHeight="false" outlineLevel="0" collapsed="false">
      <c r="A21" s="9" t="s">
        <v>763</v>
      </c>
      <c r="B21" s="9" t="s">
        <v>764</v>
      </c>
      <c r="C21" s="9" t="s">
        <v>765</v>
      </c>
      <c r="D21" s="8" t="s">
        <v>766</v>
      </c>
      <c r="E21" s="8"/>
    </row>
    <row r="22" customFormat="false" ht="15" hidden="false" customHeight="false" outlineLevel="0" collapsed="false">
      <c r="A22" s="9" t="s">
        <v>767</v>
      </c>
      <c r="B22" s="9" t="s">
        <v>768</v>
      </c>
      <c r="C22" s="9" t="s">
        <v>765</v>
      </c>
      <c r="D22" s="8" t="s">
        <v>769</v>
      </c>
      <c r="E22" s="8"/>
    </row>
    <row r="23" customFormat="false" ht="15" hidden="false" customHeight="false" outlineLevel="0" collapsed="false">
      <c r="A23" s="30" t="s">
        <v>770</v>
      </c>
      <c r="B23" s="30" t="s">
        <v>771</v>
      </c>
      <c r="C23" s="30" t="s">
        <v>765</v>
      </c>
      <c r="D23" s="31" t="s">
        <v>772</v>
      </c>
      <c r="E23" s="32" t="s">
        <v>773</v>
      </c>
    </row>
    <row r="24" customFormat="false" ht="15" hidden="false" customHeight="false" outlineLevel="0" collapsed="false">
      <c r="A24" s="9" t="s">
        <v>774</v>
      </c>
      <c r="B24" s="9" t="s">
        <v>775</v>
      </c>
      <c r="C24" s="9" t="s">
        <v>151</v>
      </c>
      <c r="D24" s="8" t="s">
        <v>776</v>
      </c>
      <c r="E24" s="8"/>
    </row>
    <row r="25" customFormat="false" ht="15" hidden="false" customHeight="false" outlineLevel="0" collapsed="false">
      <c r="A25" s="30" t="s">
        <v>777</v>
      </c>
      <c r="B25" s="30" t="s">
        <v>778</v>
      </c>
      <c r="C25" s="30" t="s">
        <v>151</v>
      </c>
      <c r="D25" s="31" t="s">
        <v>779</v>
      </c>
      <c r="E25" s="32" t="s">
        <v>780</v>
      </c>
    </row>
    <row r="26" customFormat="false" ht="15" hidden="false" customHeight="false" outlineLevel="0" collapsed="false">
      <c r="A26" s="9" t="s">
        <v>781</v>
      </c>
      <c r="B26" s="9" t="s">
        <v>782</v>
      </c>
      <c r="C26" s="9" t="s">
        <v>783</v>
      </c>
      <c r="D26" s="8" t="s">
        <v>784</v>
      </c>
      <c r="E26" s="8"/>
    </row>
    <row r="27" customFormat="false" ht="15" hidden="false" customHeight="false" outlineLevel="0" collapsed="false">
      <c r="A27" s="30" t="s">
        <v>785</v>
      </c>
      <c r="B27" s="30" t="s">
        <v>786</v>
      </c>
      <c r="C27" s="30" t="s">
        <v>783</v>
      </c>
      <c r="D27" s="31" t="s">
        <v>787</v>
      </c>
      <c r="E27" s="32" t="s">
        <v>788</v>
      </c>
    </row>
    <row r="30" customFormat="false" ht="15" hidden="false" customHeight="false" outlineLevel="0" collapsed="false">
      <c r="A30" s="6" t="s">
        <v>789</v>
      </c>
    </row>
    <row r="31" customFormat="false" ht="15" hidden="false" customHeight="false" outlineLevel="0" collapsed="false">
      <c r="A31" s="29" t="s">
        <v>790</v>
      </c>
      <c r="B31" s="29"/>
      <c r="C31" s="29"/>
      <c r="D31" s="29"/>
      <c r="E31" s="29"/>
    </row>
    <row r="32" customFormat="false" ht="15" hidden="false" customHeight="false" outlineLevel="0" collapsed="false">
      <c r="A32" s="29" t="s">
        <v>791</v>
      </c>
      <c r="B32" s="29"/>
      <c r="C32" s="29"/>
      <c r="D32" s="29"/>
      <c r="E32" s="29"/>
    </row>
    <row r="33" customFormat="false" ht="15" hidden="false" customHeight="false" outlineLevel="0" collapsed="false">
      <c r="A33" s="29" t="s">
        <v>792</v>
      </c>
      <c r="B33" s="29"/>
      <c r="C33" s="29"/>
      <c r="D33" s="29"/>
      <c r="E33" s="29"/>
    </row>
    <row r="34" customFormat="false" ht="15" hidden="false" customHeight="false" outlineLevel="0" collapsed="false">
      <c r="A34" s="29" t="s">
        <v>793</v>
      </c>
      <c r="B34" s="29"/>
      <c r="C34" s="29"/>
      <c r="D34" s="29"/>
      <c r="E34" s="29"/>
    </row>
    <row r="35" customFormat="false" ht="15" hidden="false" customHeight="false" outlineLevel="0" collapsed="false">
      <c r="A35" s="29" t="s">
        <v>794</v>
      </c>
      <c r="B35" s="29"/>
      <c r="C35" s="29"/>
      <c r="D35" s="29"/>
      <c r="E35" s="29"/>
    </row>
    <row r="36" customFormat="false" ht="15" hidden="false" customHeight="false" outlineLevel="0" collapsed="false">
      <c r="A36" s="29" t="s">
        <v>795</v>
      </c>
      <c r="B36" s="29"/>
      <c r="C36" s="29"/>
      <c r="D36" s="29"/>
      <c r="E36" s="29"/>
    </row>
  </sheetData>
  <mergeCells count="8">
    <mergeCell ref="A1:E1"/>
    <mergeCell ref="A2:E2"/>
    <mergeCell ref="A31:E31"/>
    <mergeCell ref="A32:E32"/>
    <mergeCell ref="A33:E33"/>
    <mergeCell ref="A34:E34"/>
    <mergeCell ref="A35:E35"/>
    <mergeCell ref="A36:E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4" min="3" style="0" width="15"/>
    <col collapsed="false" customWidth="true" hidden="false" outlineLevel="0" max="5" min="5" style="0" width="46"/>
    <col collapsed="false" customWidth="true" hidden="false" outlineLevel="0" max="6" min="6" style="0" width="52"/>
    <col collapsed="false" customWidth="true" hidden="false" outlineLevel="0" max="7" min="7" style="0" width="14"/>
  </cols>
  <sheetData>
    <row r="1" customFormat="false" ht="24" hidden="false" customHeight="true" outlineLevel="0" collapsed="false">
      <c r="A1" s="1" t="s">
        <v>796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797</v>
      </c>
      <c r="B2" s="2"/>
      <c r="C2" s="2"/>
      <c r="D2" s="2"/>
      <c r="E2" s="2"/>
      <c r="F2" s="2"/>
      <c r="G2" s="2"/>
    </row>
    <row r="4" customFormat="false" ht="31.5" hidden="false" customHeight="true" outlineLevel="0" collapsed="false">
      <c r="A4" s="7" t="s">
        <v>670</v>
      </c>
      <c r="B4" s="7" t="s">
        <v>13</v>
      </c>
      <c r="C4" s="7" t="s">
        <v>798</v>
      </c>
      <c r="D4" s="7" t="s">
        <v>799</v>
      </c>
      <c r="E4" s="7" t="s">
        <v>800</v>
      </c>
      <c r="F4" s="7" t="s">
        <v>801</v>
      </c>
      <c r="G4" s="7" t="s">
        <v>802</v>
      </c>
    </row>
    <row r="5" customFormat="false" ht="32.8" hidden="false" customHeight="false" outlineLevel="0" collapsed="false">
      <c r="A5" s="22" t="s">
        <v>803</v>
      </c>
      <c r="B5" s="21" t="s">
        <v>804</v>
      </c>
      <c r="C5" s="22" t="s">
        <v>805</v>
      </c>
      <c r="D5" s="22" t="s">
        <v>806</v>
      </c>
      <c r="E5" s="21" t="s">
        <v>807</v>
      </c>
      <c r="F5" s="21" t="s">
        <v>808</v>
      </c>
      <c r="G5" s="22" t="s">
        <v>179</v>
      </c>
    </row>
    <row r="6" customFormat="false" ht="22.35" hidden="false" customHeight="false" outlineLevel="0" collapsed="false">
      <c r="A6" s="22" t="s">
        <v>809</v>
      </c>
      <c r="B6" s="21" t="s">
        <v>810</v>
      </c>
      <c r="C6" s="22" t="s">
        <v>811</v>
      </c>
      <c r="D6" s="22" t="s">
        <v>806</v>
      </c>
      <c r="E6" s="21" t="s">
        <v>812</v>
      </c>
      <c r="F6" s="21" t="s">
        <v>813</v>
      </c>
      <c r="G6" s="22" t="s">
        <v>179</v>
      </c>
    </row>
    <row r="7" customFormat="false" ht="22.35" hidden="false" customHeight="false" outlineLevel="0" collapsed="false">
      <c r="A7" s="22" t="s">
        <v>814</v>
      </c>
      <c r="B7" s="21" t="s">
        <v>815</v>
      </c>
      <c r="C7" s="22" t="s">
        <v>816</v>
      </c>
      <c r="D7" s="22" t="s">
        <v>806</v>
      </c>
      <c r="E7" s="21" t="s">
        <v>817</v>
      </c>
      <c r="F7" s="21" t="s">
        <v>818</v>
      </c>
      <c r="G7" s="22" t="s">
        <v>426</v>
      </c>
    </row>
    <row r="8" customFormat="false" ht="22.35" hidden="false" customHeight="false" outlineLevel="0" collapsed="false">
      <c r="A8" s="22" t="s">
        <v>819</v>
      </c>
      <c r="B8" s="21" t="s">
        <v>820</v>
      </c>
      <c r="C8" s="22" t="s">
        <v>816</v>
      </c>
      <c r="D8" s="22" t="s">
        <v>806</v>
      </c>
      <c r="E8" s="21" t="s">
        <v>821</v>
      </c>
      <c r="F8" s="21" t="s">
        <v>822</v>
      </c>
      <c r="G8" s="22" t="s">
        <v>179</v>
      </c>
    </row>
    <row r="9" customFormat="false" ht="22.35" hidden="false" customHeight="false" outlineLevel="0" collapsed="false">
      <c r="A9" s="22" t="s">
        <v>823</v>
      </c>
      <c r="B9" s="21" t="s">
        <v>824</v>
      </c>
      <c r="C9" s="22" t="s">
        <v>805</v>
      </c>
      <c r="D9" s="22" t="s">
        <v>806</v>
      </c>
      <c r="E9" s="21" t="s">
        <v>825</v>
      </c>
      <c r="F9" s="21" t="s">
        <v>826</v>
      </c>
      <c r="G9" s="22" t="s">
        <v>188</v>
      </c>
    </row>
    <row r="10" customFormat="false" ht="22.35" hidden="false" customHeight="false" outlineLevel="0" collapsed="false">
      <c r="A10" s="22" t="s">
        <v>827</v>
      </c>
      <c r="B10" s="21" t="s">
        <v>828</v>
      </c>
      <c r="C10" s="22" t="s">
        <v>805</v>
      </c>
      <c r="D10" s="22" t="s">
        <v>829</v>
      </c>
      <c r="E10" s="21" t="s">
        <v>830</v>
      </c>
      <c r="F10" s="21" t="s">
        <v>831</v>
      </c>
      <c r="G10" s="22" t="s">
        <v>179</v>
      </c>
    </row>
    <row r="11" customFormat="false" ht="22.35" hidden="false" customHeight="false" outlineLevel="0" collapsed="false">
      <c r="A11" s="22" t="s">
        <v>832</v>
      </c>
      <c r="B11" s="21" t="s">
        <v>833</v>
      </c>
      <c r="C11" s="22" t="s">
        <v>829</v>
      </c>
      <c r="D11" s="22" t="s">
        <v>806</v>
      </c>
      <c r="E11" s="21" t="s">
        <v>834</v>
      </c>
      <c r="F11" s="21" t="s">
        <v>835</v>
      </c>
      <c r="G11" s="22" t="s">
        <v>179</v>
      </c>
    </row>
    <row r="12" customFormat="false" ht="22.35" hidden="false" customHeight="false" outlineLevel="0" collapsed="false">
      <c r="A12" s="22" t="s">
        <v>836</v>
      </c>
      <c r="B12" s="21" t="s">
        <v>837</v>
      </c>
      <c r="C12" s="22" t="s">
        <v>829</v>
      </c>
      <c r="D12" s="22" t="s">
        <v>829</v>
      </c>
      <c r="E12" s="21" t="s">
        <v>838</v>
      </c>
      <c r="F12" s="21" t="s">
        <v>839</v>
      </c>
      <c r="G12" s="22" t="s">
        <v>318</v>
      </c>
    </row>
    <row r="13" customFormat="false" ht="15" hidden="false" customHeight="false" outlineLevel="0" collapsed="false">
      <c r="A13" s="22" t="s">
        <v>840</v>
      </c>
      <c r="B13" s="21" t="s">
        <v>841</v>
      </c>
      <c r="C13" s="22" t="s">
        <v>816</v>
      </c>
      <c r="D13" s="22" t="s">
        <v>829</v>
      </c>
      <c r="E13" s="21" t="s">
        <v>842</v>
      </c>
      <c r="F13" s="21" t="s">
        <v>843</v>
      </c>
      <c r="G13" s="22" t="s">
        <v>179</v>
      </c>
    </row>
  </sheetData>
  <mergeCells count="2">
    <mergeCell ref="A1:G1"/>
    <mergeCell ref="A2:G2"/>
  </mergeCells>
  <conditionalFormatting sqref="D5:D13">
    <cfRule type="cellIs" priority="2" operator="equal" aboveAverage="0" equalAverage="0" bottom="0" percent="0" rank="0" text="" dxfId="14">
      <formula>"Nghiêm trọng"</formula>
    </cfRule>
  </conditionalFormatting>
  <conditionalFormatting sqref="C5:C13">
    <cfRule type="cellIs" priority="3" operator="equal" aboveAverage="0" equalAverage="0" bottom="0" percent="0" rank="0" text="" dxfId="0">
      <formula>"Chắc chắn"</formula>
    </cfRule>
    <cfRule type="cellIs" priority="4" operator="equal" aboveAverage="0" equalAverage="0" bottom="0" percent="0" rank="0" text="" dxfId="0">
      <formula>"Rất cao"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66"/>
    <col collapsed="false" customWidth="true" hidden="false" outlineLevel="0" max="5" min="5" style="0" width="54"/>
  </cols>
  <sheetData>
    <row r="1" customFormat="false" ht="24" hidden="false" customHeight="true" outlineLevel="0" collapsed="false">
      <c r="A1" s="1" t="s">
        <v>844</v>
      </c>
      <c r="B1" s="1"/>
      <c r="C1" s="1"/>
      <c r="D1" s="1"/>
      <c r="E1" s="1"/>
    </row>
    <row r="2" customFormat="false" ht="15" hidden="false" customHeight="false" outlineLevel="0" collapsed="false">
      <c r="A2" s="2" t="s">
        <v>845</v>
      </c>
      <c r="B2" s="2"/>
      <c r="C2" s="2"/>
      <c r="D2" s="2"/>
      <c r="E2" s="2"/>
    </row>
    <row r="4" customFormat="false" ht="31.5" hidden="false" customHeight="true" outlineLevel="0" collapsed="false">
      <c r="A4" s="7" t="s">
        <v>846</v>
      </c>
      <c r="B4" s="7" t="s">
        <v>847</v>
      </c>
      <c r="C4" s="7" t="s">
        <v>848</v>
      </c>
      <c r="D4" s="7" t="s">
        <v>849</v>
      </c>
      <c r="E4" s="7" t="s">
        <v>850</v>
      </c>
    </row>
    <row r="5" customFormat="false" ht="43.25" hidden="false" customHeight="false" outlineLevel="0" collapsed="false">
      <c r="A5" s="33" t="s">
        <v>851</v>
      </c>
      <c r="B5" s="34" t="s">
        <v>852</v>
      </c>
      <c r="C5" s="33" t="s">
        <v>853</v>
      </c>
      <c r="D5" s="21" t="s">
        <v>854</v>
      </c>
      <c r="E5" s="21" t="s">
        <v>855</v>
      </c>
    </row>
    <row r="6" customFormat="false" ht="22.35" hidden="false" customHeight="false" outlineLevel="0" collapsed="false">
      <c r="A6" s="33" t="s">
        <v>851</v>
      </c>
      <c r="B6" s="34" t="s">
        <v>852</v>
      </c>
      <c r="C6" s="33" t="s">
        <v>856</v>
      </c>
      <c r="D6" s="21" t="s">
        <v>857</v>
      </c>
      <c r="E6" s="21" t="s">
        <v>858</v>
      </c>
    </row>
    <row r="7" customFormat="false" ht="22.35" hidden="false" customHeight="false" outlineLevel="0" collapsed="false">
      <c r="A7" s="33" t="s">
        <v>851</v>
      </c>
      <c r="B7" s="34" t="s">
        <v>852</v>
      </c>
      <c r="C7" s="33" t="s">
        <v>859</v>
      </c>
      <c r="D7" s="21" t="s">
        <v>860</v>
      </c>
      <c r="E7" s="21" t="s">
        <v>861</v>
      </c>
    </row>
    <row r="8" customFormat="false" ht="32.8" hidden="false" customHeight="false" outlineLevel="0" collapsed="false">
      <c r="A8" s="33" t="s">
        <v>851</v>
      </c>
      <c r="B8" s="34" t="s">
        <v>852</v>
      </c>
      <c r="C8" s="33" t="s">
        <v>862</v>
      </c>
      <c r="D8" s="21" t="s">
        <v>863</v>
      </c>
      <c r="E8" s="21" t="s">
        <v>864</v>
      </c>
    </row>
    <row r="9" customFormat="false" ht="22.35" hidden="false" customHeight="false" outlineLevel="0" collapsed="false">
      <c r="A9" s="33" t="s">
        <v>851</v>
      </c>
      <c r="B9" s="34" t="s">
        <v>865</v>
      </c>
      <c r="C9" s="33" t="s">
        <v>866</v>
      </c>
      <c r="D9" s="21" t="s">
        <v>867</v>
      </c>
      <c r="E9" s="21" t="s">
        <v>868</v>
      </c>
    </row>
    <row r="10" customFormat="false" ht="22.35" hidden="false" customHeight="false" outlineLevel="0" collapsed="false">
      <c r="A10" s="33" t="s">
        <v>851</v>
      </c>
      <c r="B10" s="34" t="s">
        <v>865</v>
      </c>
      <c r="C10" s="33" t="s">
        <v>866</v>
      </c>
      <c r="D10" s="21" t="s">
        <v>869</v>
      </c>
      <c r="E10" s="21" t="s">
        <v>870</v>
      </c>
    </row>
    <row r="11" customFormat="false" ht="22.35" hidden="false" customHeight="false" outlineLevel="0" collapsed="false">
      <c r="A11" s="33" t="s">
        <v>851</v>
      </c>
      <c r="B11" s="34" t="s">
        <v>865</v>
      </c>
      <c r="C11" s="33" t="s">
        <v>866</v>
      </c>
      <c r="D11" s="21" t="s">
        <v>871</v>
      </c>
      <c r="E11" s="21" t="s">
        <v>872</v>
      </c>
    </row>
    <row r="12" customFormat="false" ht="22.35" hidden="false" customHeight="false" outlineLevel="0" collapsed="false">
      <c r="A12" s="33" t="s">
        <v>851</v>
      </c>
      <c r="B12" s="34" t="s">
        <v>865</v>
      </c>
      <c r="C12" s="33" t="s">
        <v>873</v>
      </c>
      <c r="D12" s="21" t="s">
        <v>874</v>
      </c>
      <c r="E12" s="21" t="s">
        <v>875</v>
      </c>
    </row>
    <row r="15" customFormat="false" ht="15" hidden="false" customHeight="false" outlineLevel="0" collapsed="false">
      <c r="A15" s="35" t="s">
        <v>876</v>
      </c>
    </row>
    <row r="16" customFormat="false" ht="15" hidden="false" customHeight="false" outlineLevel="0" collapsed="false">
      <c r="A16" s="18" t="s">
        <v>877</v>
      </c>
    </row>
    <row r="18" customFormat="false" ht="31.5" hidden="false" customHeight="true" outlineLevel="0" collapsed="false">
      <c r="A18" s="36" t="s">
        <v>878</v>
      </c>
      <c r="B18" s="36" t="s">
        <v>879</v>
      </c>
      <c r="C18" s="36" t="s">
        <v>880</v>
      </c>
      <c r="D18" s="36" t="s">
        <v>881</v>
      </c>
    </row>
    <row r="19" customFormat="false" ht="126.85" hidden="false" customHeight="false" outlineLevel="0" collapsed="false">
      <c r="A19" s="21" t="s">
        <v>882</v>
      </c>
      <c r="B19" s="21" t="s">
        <v>883</v>
      </c>
      <c r="C19" s="21" t="s">
        <v>884</v>
      </c>
      <c r="D19" s="21" t="s">
        <v>885</v>
      </c>
    </row>
    <row r="20" customFormat="false" ht="85.05" hidden="false" customHeight="false" outlineLevel="0" collapsed="false">
      <c r="A20" s="21" t="s">
        <v>886</v>
      </c>
      <c r="B20" s="21" t="s">
        <v>887</v>
      </c>
      <c r="C20" s="21" t="s">
        <v>888</v>
      </c>
      <c r="D20" s="21" t="s">
        <v>889</v>
      </c>
    </row>
    <row r="21" customFormat="false" ht="95.5" hidden="false" customHeight="false" outlineLevel="0" collapsed="false">
      <c r="A21" s="21" t="s">
        <v>890</v>
      </c>
      <c r="B21" s="21" t="s">
        <v>891</v>
      </c>
      <c r="C21" s="21" t="s">
        <v>892</v>
      </c>
      <c r="D21" s="21" t="s">
        <v>893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2026-09-03T02:29:20Z</dcterms:created>
  <dc:creator>openpyxl</dc:creator>
  <dc:description/>
  <dc:language>en-US</dc:language>
  <cp:lastModifiedBy/>
  <dcterms:modified xsi:type="dcterms:W3CDTF">2026-09-03T02:29:21Z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
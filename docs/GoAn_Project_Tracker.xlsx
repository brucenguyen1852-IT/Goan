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Hướng dẫn" sheetId="1" state="visible" r:id="rId1"/>
    <sheet name="Dashboard" sheetId="2" state="visible" r:id="rId2"/>
    <sheet name="Hiện trạng" sheetId="3" state="visible" r:id="rId3"/>
    <sheet name="Backlog" sheetId="4" state="visible" r:id="rId4"/>
    <sheet name="Lists" sheetId="5" state="visible" r:id="rId5"/>
    <sheet name="Đội ngũ" sheetId="6" state="visible" r:id="rId6"/>
    <sheet name="Sprint" sheetId="7" state="visible" r:id="rId7"/>
    <sheet name="Rủi ro" sheetId="8" state="visible" r:id="rId8"/>
    <sheet name="Nhật ký" sheetId="9" state="visible" r:id="rId9"/>
  </sheets>
  <definedNames>
    <definedName name="_xlnm._FilterDatabase" localSheetId="3" hidden="1">'Backlog'!$A$4:$O$135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5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sz val="11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i val="1"/>
      <sz val="9"/>
    </font>
    <font>
      <name val="Arial"/>
      <charset val="1"/>
      <family val="0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7F6000"/>
      <sz val="10"/>
    </font>
    <font>
      <name val="Courier New"/>
      <charset val="1"/>
      <family val="0"/>
      <sz val="9"/>
    </font>
    <font>
      <name val="Arial"/>
      <charset val="1"/>
      <family val="0"/>
      <b val="1"/>
      <color rgb="FF9C0006"/>
      <sz val="12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DEDED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EDEDED"/>
      </patternFill>
    </fill>
    <fill>
      <patternFill patternType="solid">
        <fgColor rgb="FF9C0006"/>
        <bgColor rgb="FF80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9" fontId="7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9" fontId="6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164" fontId="11" fillId="4" borderId="1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1" fillId="4" borderId="1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13" fillId="0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center" vertical="center"/>
    </xf>
    <xf numFmtId="9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top" wrapText="1"/>
    </xf>
    <xf numFmtId="164" fontId="13" fillId="0" borderId="1" applyAlignment="1" pivotButton="0" quotePrefix="0" xfId="0">
      <alignment horizontal="center" vertical="top"/>
    </xf>
    <xf numFmtId="9" fontId="13" fillId="0" borderId="1" applyAlignment="1" pivotButton="0" quotePrefix="0" xfId="0">
      <alignment horizontal="center" vertical="top"/>
    </xf>
    <xf numFmtId="164" fontId="6" fillId="0" borderId="0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general" vertical="top" wrapText="1"/>
    </xf>
    <xf numFmtId="0" fontId="15" fillId="5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center" vertical="top"/>
    </xf>
    <xf numFmtId="0" fontId="16" fillId="0" borderId="1" applyAlignment="1" pivotButton="0" quotePrefix="0" xfId="0">
      <alignment horizontal="center" vertical="top"/>
    </xf>
    <xf numFmtId="0" fontId="17" fillId="0" borderId="0" applyAlignment="1" pivotButton="0" quotePrefix="0" xfId="0">
      <alignment horizontal="general" vertical="bottom"/>
    </xf>
    <xf numFmtId="0" fontId="10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9" fontId="7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9" fontId="6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164" fontId="11" fillId="4" borderId="1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1" fillId="4" borderId="1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13" fillId="0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center" vertical="center"/>
    </xf>
    <xf numFmtId="9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top" wrapText="1"/>
    </xf>
    <xf numFmtId="164" fontId="13" fillId="0" borderId="1" applyAlignment="1" pivotButton="0" quotePrefix="0" xfId="0">
      <alignment horizontal="center" vertical="top"/>
    </xf>
    <xf numFmtId="9" fontId="13" fillId="0" borderId="1" applyAlignment="1" pivotButton="0" quotePrefix="0" xfId="0">
      <alignment horizontal="center" vertical="top"/>
    </xf>
    <xf numFmtId="164" fontId="6" fillId="0" borderId="0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general" vertical="top" wrapText="1"/>
    </xf>
    <xf numFmtId="0" fontId="15" fillId="5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center" vertical="top"/>
    </xf>
    <xf numFmtId="0" fontId="16" fillId="0" borderId="1" applyAlignment="1" pivotButton="0" quotePrefix="0" xfId="0">
      <alignment horizontal="center" vertical="top"/>
    </xf>
    <xf numFmtId="0" fontId="17" fillId="0" borderId="0" applyAlignment="1" pivotButton="0" quotePrefix="0" xfId="0">
      <alignment horizontal="general" vertical="bottom"/>
    </xf>
    <xf numFmtId="0" fontId="10" fillId="6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EDEDED"/>
        </patternFill>
      </fill>
    </dxf>
    <dxf>
      <font>
        <name val="Arial"/>
        <charset val="1"/>
        <family val="0"/>
        <b val="1"/>
        <color rgb="FF9C0006"/>
        <sz val="9"/>
      </font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4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7" min="1" max="1"/>
    <col width="32" customWidth="1" style="37" min="2" max="2"/>
    <col width="95" customWidth="1" style="37" min="3" max="3"/>
  </cols>
  <sheetData>
    <row r="1" ht="24" customHeight="1" s="38">
      <c r="A1" s="39" t="inlineStr">
        <is>
          <t>GoAn — Bảng theo dõi dự án (Project Tracker)</t>
        </is>
      </c>
    </row>
    <row r="2" ht="15" customHeight="1" s="38">
      <c r="A2" s="40" t="inlineStr">
        <is>
          <t>Đội 4 người · 8 giai đoạn · Cập nhật lần cuối 03/09/2026 · nhánh chore/p0-foundation, 5 commit, 129 test xanh</t>
        </is>
      </c>
    </row>
    <row r="4" ht="15" customHeight="1" s="38">
      <c r="B4" s="41" t="n"/>
      <c r="C4" s="42" t="n"/>
    </row>
    <row r="5" ht="15" customHeight="1" s="38">
      <c r="A5" s="43" t="n"/>
      <c r="B5" s="44" t="inlineStr">
        <is>
          <t>CÁC SHEET</t>
        </is>
      </c>
      <c r="C5" s="43" t="n"/>
    </row>
    <row r="6" ht="15" customHeight="1" s="38">
      <c r="B6" s="41" t="inlineStr">
        <is>
          <t>Dashboard</t>
        </is>
      </c>
      <c r="C6" s="42" t="inlineStr">
        <is>
          <t>Tổng hợp tự động theo từng giai đoạn: số task, ngày công, % hoàn thành, số sprint còn lại. Không nhập tay ở đây.</t>
        </is>
      </c>
    </row>
    <row r="7" ht="15" customHeight="1" s="38">
      <c r="B7" s="41" t="inlineStr">
        <is>
          <t>Hiện trạng</t>
        </is>
      </c>
      <c r="C7" s="42" t="inlineStr">
        <is>
          <t>Đánh giá từng phần của hệ thống hiện tại — căn cứ là mã nguồn đã đọc, không phải phỏng đoán.</t>
        </is>
      </c>
    </row>
    <row r="8" ht="15" customHeight="1" s="38">
      <c r="B8" s="41" t="inlineStr">
        <is>
          <t>Backlog</t>
        </is>
      </c>
      <c r="C8" s="42" t="inlineStr">
        <is>
          <t>Bảng công việc chính. Đây là nơi DUY NHẤT cần cập nhật hằng ngày.</t>
        </is>
      </c>
    </row>
    <row r="9" ht="15" customHeight="1" s="38">
      <c r="B9" s="41" t="inlineStr">
        <is>
          <t>Đội ngũ</t>
        </is>
      </c>
      <c r="C9" s="42" t="inlineStr">
        <is>
          <t>4 vai trò, năng lực mỗi sprint, và tải công việc còn lại của từng người.</t>
        </is>
      </c>
    </row>
    <row r="10" ht="15" customHeight="1" s="38">
      <c r="B10" s="41" t="inlineStr">
        <is>
          <t>Sprint</t>
        </is>
      </c>
      <c r="C10" s="42" t="inlineStr">
        <is>
          <t>Lịch 2 tuần/sprint, mục tiêu từng sprint.</t>
        </is>
      </c>
    </row>
    <row r="11" ht="15" customHeight="1" s="38">
      <c r="B11" s="41" t="inlineStr">
        <is>
          <t>Rủi ro</t>
        </is>
      </c>
      <c r="C11" s="42" t="inlineStr">
        <is>
          <t>9 rủi ro đã nhận diện, kèm cách giảm thiểu và người chịu trách nhiệm.</t>
        </is>
      </c>
    </row>
    <row r="12" ht="23.85" customHeight="1" s="38">
      <c r="B12" s="41" t="inlineStr">
        <is>
          <t>Nhật ký</t>
        </is>
      </c>
      <c r="C12" s="42" t="inlineStr">
        <is>
          <t>15 việc đã triển khai thật, kèm mã commit và bằng chứng kiểm chứng. Cả những chỗ đánh giá ban đầu sai và đã được sửa lại.</t>
        </is>
      </c>
    </row>
    <row r="13" ht="15" customHeight="1" s="38">
      <c r="B13" s="41" t="inlineStr">
        <is>
          <t>Lists</t>
        </is>
      </c>
      <c r="C13" s="42" t="inlineStr">
        <is>
          <t>Danh sách giá trị cho ô chọn. Đừng xoá sheet này.</t>
        </is>
      </c>
    </row>
    <row r="14" ht="15" customHeight="1" s="38">
      <c r="B14" s="41" t="n"/>
      <c r="C14" s="42" t="n"/>
    </row>
    <row r="15" ht="15" customHeight="1" s="38">
      <c r="A15" s="43" t="n"/>
      <c r="B15" s="44" t="inlineStr">
        <is>
          <t>CÁCH DÙNG HẰNG NGÀY</t>
        </is>
      </c>
      <c r="C15" s="43" t="n"/>
    </row>
    <row r="16" ht="15" customHeight="1" s="38">
      <c r="B16" s="41" t="inlineStr">
        <is>
          <t>1</t>
        </is>
      </c>
      <c r="C16" s="42" t="inlineStr">
        <is>
          <t>Mỗi ngày, cập nhật 2 cột trong sheet Backlog: 'Trạng thái' và '% hoàn thành'. Mọi thứ khác tự tính.</t>
        </is>
      </c>
    </row>
    <row r="17" ht="15" customHeight="1" s="38">
      <c r="B17" s="41" t="inlineStr">
        <is>
          <t>2</t>
        </is>
      </c>
      <c r="C17" s="42" t="inlineStr">
        <is>
          <t>Điền cột 'Người làm' khi giao việc (đang để trống theo vai trò).</t>
        </is>
      </c>
    </row>
    <row r="18" ht="15" customHeight="1" s="38">
      <c r="B18" s="41" t="inlineStr">
        <is>
          <t>3</t>
        </is>
      </c>
      <c r="C18" s="42" t="inlineStr">
        <is>
          <t>Điền cột 'Sprint' khi đưa task vào sprint.</t>
        </is>
      </c>
    </row>
    <row r="19" ht="15" customHeight="1" s="38">
      <c r="B19" s="41" t="inlineStr">
        <is>
          <t>4</t>
        </is>
      </c>
      <c r="C19" s="42" t="inlineStr">
        <is>
          <t>Đầu mỗi sprint, xem sheet Đội ngũ để biết ai đang quá tải.</t>
        </is>
      </c>
    </row>
    <row r="20" ht="15" customHeight="1" s="38">
      <c r="B20" s="41" t="n"/>
      <c r="C20" s="42" t="n"/>
    </row>
    <row r="21" ht="15" customHeight="1" s="38">
      <c r="A21" s="43" t="n"/>
      <c r="B21" s="44" t="inlineStr">
        <is>
          <t>QUY ƯỚC TRẠNG THÁI</t>
        </is>
      </c>
      <c r="C21" s="43" t="n"/>
    </row>
    <row r="22" ht="15" customHeight="1" s="38">
      <c r="B22" s="41" t="inlineStr">
        <is>
          <t>Đã xong</t>
        </is>
      </c>
      <c r="C22" s="42" t="inlineStr">
        <is>
          <t>Đạt đủ 'Định nghĩa hoàn thành' (cột E), đã merge, đã test. Không có 'gần xong'.</t>
        </is>
      </c>
    </row>
    <row r="23" ht="15" customHeight="1" s="38">
      <c r="B23" s="41" t="inlineStr">
        <is>
          <t>Đang làm</t>
        </is>
      </c>
      <c r="C23" s="42" t="inlineStr">
        <is>
          <t>Có người đang làm. Một người không nên có quá 2 task Đang làm cùng lúc.</t>
        </is>
      </c>
    </row>
    <row r="24" ht="15" customHeight="1" s="38">
      <c r="B24" s="41" t="inlineStr">
        <is>
          <t>Chưa bắt đầu</t>
        </is>
      </c>
      <c r="C24" s="42" t="inlineStr">
        <is>
          <t>Đã sẵn sàng để nhận.</t>
        </is>
      </c>
    </row>
    <row r="25" ht="15" customHeight="1" s="38">
      <c r="B25" s="41" t="inlineStr">
        <is>
          <t>Bị chặn</t>
        </is>
      </c>
      <c r="C25" s="42" t="inlineStr">
        <is>
          <t>Không làm tiếp được vì lý do bên ngoài. PHẢI ghi lý do ở cột Ghi chú và đưa ra họp hằng ngày.</t>
        </is>
      </c>
    </row>
    <row r="26" ht="15" customHeight="1" s="38">
      <c r="B26" s="41" t="n"/>
      <c r="C26" s="42" t="n"/>
    </row>
    <row r="27" ht="15" customHeight="1" s="38">
      <c r="A27" s="43" t="n"/>
      <c r="B27" s="44" t="inlineStr">
        <is>
          <t>QUY ƯỚC ƯU TIÊN</t>
        </is>
      </c>
      <c r="C27" s="43" t="n"/>
    </row>
    <row r="28" ht="15" customHeight="1" s="38">
      <c r="B28" s="41" t="inlineStr">
        <is>
          <t>P0-Bắt buộc</t>
        </is>
      </c>
      <c r="C28" s="42" t="inlineStr">
        <is>
          <t>Không có thì giai đoạn không đóng được.</t>
        </is>
      </c>
    </row>
    <row r="29" ht="15" customHeight="1" s="38">
      <c r="B29" s="41" t="inlineStr">
        <is>
          <t>P1-Cao</t>
        </is>
      </c>
      <c r="C29" s="42" t="inlineStr">
        <is>
          <t>Cần cho vận hành thật, có thể lùi 1 sprint.</t>
        </is>
      </c>
    </row>
    <row r="30" ht="15" customHeight="1" s="38">
      <c r="B30" s="41" t="inlineStr">
        <is>
          <t>P2-Trung bình</t>
        </is>
      </c>
      <c r="C30" s="42" t="inlineStr">
        <is>
          <t>Cải thiện chất lượng, lùi được.</t>
        </is>
      </c>
    </row>
    <row r="31" ht="15" customHeight="1" s="38">
      <c r="B31" s="41" t="inlineStr">
        <is>
          <t>P3-Thấp</t>
        </is>
      </c>
      <c r="C31" s="42" t="inlineStr">
        <is>
          <t>Làm khi còn thời gian.</t>
        </is>
      </c>
    </row>
    <row r="32" ht="15" customHeight="1" s="38">
      <c r="B32" s="41" t="n"/>
      <c r="C32" s="42" t="n"/>
    </row>
    <row r="33" ht="15" customHeight="1" s="38">
      <c r="A33" s="43" t="n"/>
      <c r="B33" s="44" t="inlineStr">
        <is>
          <t>ĐƯA LÊN GOOGLE SHEETS</t>
        </is>
      </c>
      <c r="C33" s="43" t="n"/>
    </row>
    <row r="34" ht="23.85" customHeight="1" s="38">
      <c r="B34" s="41" t="inlineStr">
        <is>
          <t>Cách 1</t>
        </is>
      </c>
      <c r="C34" s="42" t="inlineStr">
        <is>
          <t>Google Drive → Mới → Tải tệp lên → chọn file .xlsx này → mở bằng Google Sheets. Toàn bộ công thức, định dạng và ô chọn được giữ nguyên.</t>
        </is>
      </c>
    </row>
    <row r="35" ht="15" customHeight="1" s="38">
      <c r="B35" s="41" t="inlineStr">
        <is>
          <t>Cách 2</t>
        </is>
      </c>
      <c r="C35" s="42" t="inlineStr">
        <is>
          <t>Trong Google Sheets: Tệp → Nhập → Tải lên → 'Thay thế bảng tính'.</t>
        </is>
      </c>
    </row>
    <row r="36" ht="15" customHeight="1" s="38">
      <c r="B36" s="41" t="inlineStr">
        <is>
          <t>Lưu ý</t>
        </is>
      </c>
      <c r="C36" s="42" t="inlineStr">
        <is>
          <t>Sau khi lên Sheets, nên bật: Dữ liệu → Bộ lọc trên sheet Backlog, và chia sẻ quyền Chỉnh sửa cho cả đội.</t>
        </is>
      </c>
    </row>
    <row r="37" ht="15" customHeight="1" s="38">
      <c r="B37" s="41" t="n"/>
      <c r="C37" s="42" t="n"/>
    </row>
    <row r="38" ht="15" customHeight="1" s="38">
      <c r="A38" s="43" t="n"/>
      <c r="B38" s="44" t="inlineStr">
        <is>
          <t>ĐIỀU CẦN BIẾT TRƯỚC KHI ĐỌC SỐ</t>
        </is>
      </c>
      <c r="C38" s="43" t="n"/>
    </row>
    <row r="39" ht="15" customHeight="1" s="38">
      <c r="B39" s="41" t="inlineStr">
        <is>
          <t>Ước tính</t>
        </is>
      </c>
      <c r="C39" s="42" t="inlineStr">
        <is>
          <t>Đơn vị là NGÀY CÔNG (person-day) của một người làm việc tập trung, chưa gồm họp và hỗ trợ.</t>
        </is>
      </c>
    </row>
    <row r="40" ht="15" customHeight="1" s="38">
      <c r="B40" s="41" t="inlineStr">
        <is>
          <t>Năng lực</t>
        </is>
      </c>
      <c r="C40" s="42" t="inlineStr">
        <is>
          <t>Sprint = 2 tuần = 10 ngày làm việc, nhưng chỉ tính 8 ngày hiệu quả/người (trừ họp, review, sự cố).</t>
        </is>
      </c>
    </row>
    <row r="41" ht="23.85" customHeight="1" s="38">
      <c r="B41" s="41" t="inlineStr">
        <is>
          <t>Task đã xong</t>
        </is>
      </c>
      <c r="C41" s="42" t="inlineStr">
        <is>
          <t>Những dòng ghi '[ĐÃ CÓ]' là phần code đã tồn tại và đã được kiểm chứng — để 0 ngày công, chỉ dùng để phản ánh đúng % hoàn thành.</t>
        </is>
      </c>
    </row>
    <row r="42" ht="15" customHeight="1" s="38">
      <c r="B42" s="41" t="inlineStr">
        <is>
          <t>Điểm nghẽn</t>
        </is>
      </c>
      <c r="C42" s="42" t="inlineStr">
        <is>
          <t>Với 4 người, đường găng là app mobile. Xem sheet Rủi ro, mục R1 — đây là điều cần quyết sớm nhất.</t>
        </is>
      </c>
    </row>
  </sheetData>
  <mergeCells count="2">
    <mergeCell ref="A1:C1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26" customWidth="1" style="37" min="1" max="1"/>
    <col width="11" customWidth="1" style="37" min="2" max="2"/>
    <col width="10" customWidth="1" style="37" min="3" max="4"/>
    <col width="13" customWidth="1" style="37" min="5" max="5"/>
    <col width="9" customWidth="1" style="37" min="6" max="6"/>
    <col width="14" customWidth="1" style="37" min="7" max="7"/>
    <col width="15" customWidth="1" style="37" min="8" max="8"/>
    <col width="13" customWidth="1" style="37" min="9" max="9"/>
    <col width="17" customWidth="1" style="37" min="10" max="10"/>
    <col width="18" customWidth="1" style="37" min="11" max="11"/>
  </cols>
  <sheetData>
    <row r="1" ht="24" customHeight="1" s="38">
      <c r="A1" s="39" t="inlineStr">
        <is>
          <t>DASHBOARD — Tình trạng theo từng giai đoạn</t>
        </is>
      </c>
    </row>
    <row r="2" ht="15" customHeight="1" s="38">
      <c r="A2" s="40" t="inlineStr">
        <is>
          <t>Toàn bộ số liệu tự tính từ sheet Backlog và sheet Đội ngũ. Các giả định tính toán nằm ở cuối sheet này.</t>
        </is>
      </c>
    </row>
    <row r="4" ht="31.5" customHeight="1" s="38">
      <c r="A4" s="45" t="inlineStr">
        <is>
          <t>Giai đoạn</t>
        </is>
      </c>
      <c r="B4" s="45" t="inlineStr">
        <is>
          <t>Tổng task</t>
        </is>
      </c>
      <c r="C4" s="45" t="inlineStr">
        <is>
          <t>Đã xong</t>
        </is>
      </c>
      <c r="D4" s="45" t="inlineStr">
        <is>
          <t>Đang làm</t>
        </is>
      </c>
      <c r="E4" s="45" t="inlineStr">
        <is>
          <t>Chưa bắt đầu</t>
        </is>
      </c>
      <c r="F4" s="45" t="inlineStr">
        <is>
          <t>Bị chặn</t>
        </is>
      </c>
      <c r="G4" s="45" t="inlineStr">
        <is>
          <t>Tổng ngày công</t>
        </is>
      </c>
      <c r="H4" s="45" t="inlineStr">
        <is>
          <t>Ngày công còn lại</t>
        </is>
      </c>
      <c r="I4" s="45" t="inlineStr">
        <is>
          <t>% hoàn thành</t>
        </is>
      </c>
      <c r="J4" s="45" t="inlineStr">
        <is>
          <t>Số sprint cần (4 người)</t>
        </is>
      </c>
      <c r="K4" s="45" t="inlineStr">
        <is>
          <t>Trạng thái tổng</t>
        </is>
      </c>
    </row>
    <row r="5" ht="15" customHeight="1" s="38">
      <c r="A5" s="46" t="inlineStr">
        <is>
          <t>P0 - Dọn nền</t>
        </is>
      </c>
      <c r="B5" s="47">
        <f>COUNTIFS(Backlog!$B$5:$B$135,$A5)</f>
        <v/>
      </c>
      <c r="C5" s="47">
        <f>COUNTIFS(Backlog!$B$5:$B$135,$A5,Backlog!$K$5:$K$135,"Đã xong")</f>
        <v/>
      </c>
      <c r="D5" s="47">
        <f>COUNTIFS(Backlog!$B$5:$B$135,$A5,Backlog!$K$5:$K$135,"Đang làm")</f>
        <v/>
      </c>
      <c r="E5" s="47">
        <f>COUNTIFS(Backlog!$B$5:$B$135,$A5,Backlog!$K$5:$K$135,"Chưa bắt đầu")</f>
        <v/>
      </c>
      <c r="F5" s="47">
        <f>COUNTIFS(Backlog!$B$5:$B$135,$A5,Backlog!$K$5:$K$135,"Bị chặn")</f>
        <v/>
      </c>
      <c r="G5" s="48">
        <f>SUMIFS(Backlog!$H$5:$H$135,Backlog!$B$5:$B$135,$A5)</f>
        <v/>
      </c>
      <c r="H5" s="48">
        <f>SUMIFS(Backlog!$M$5:$M$135,Backlog!$B$5:$B$135,$A5)</f>
        <v/>
      </c>
      <c r="I5" s="49">
        <f>IFERROR(1-H5/G5,1)</f>
        <v/>
      </c>
      <c r="J5" s="48">
        <f>IFERROR(ROUND(H5/$B$16,1),0)</f>
        <v/>
      </c>
      <c r="K5" s="46">
        <f>IF(F5&gt;0,"Có việc bị chặn",IF(I5&gt;=1,"Hoàn thành",IF(D5&gt;0,"Đang chạy","Chưa bắt đầu")))</f>
        <v/>
      </c>
    </row>
    <row r="6" ht="15" customHeight="1" s="38">
      <c r="A6" s="46" t="inlineStr">
        <is>
          <t>P1 - IAM &amp; Console khung</t>
        </is>
      </c>
      <c r="B6" s="47">
        <f>COUNTIFS(Backlog!$B$5:$B$135,$A6)</f>
        <v/>
      </c>
      <c r="C6" s="47">
        <f>COUNTIFS(Backlog!$B$5:$B$135,$A6,Backlog!$K$5:$K$135,"Đã xong")</f>
        <v/>
      </c>
      <c r="D6" s="47">
        <f>COUNTIFS(Backlog!$B$5:$B$135,$A6,Backlog!$K$5:$K$135,"Đang làm")</f>
        <v/>
      </c>
      <c r="E6" s="47">
        <f>COUNTIFS(Backlog!$B$5:$B$135,$A6,Backlog!$K$5:$K$135,"Chưa bắt đầu")</f>
        <v/>
      </c>
      <c r="F6" s="47">
        <f>COUNTIFS(Backlog!$B$5:$B$135,$A6,Backlog!$K$5:$K$135,"Bị chặn")</f>
        <v/>
      </c>
      <c r="G6" s="48">
        <f>SUMIFS(Backlog!$H$5:$H$135,Backlog!$B$5:$B$135,$A6)</f>
        <v/>
      </c>
      <c r="H6" s="48">
        <f>SUMIFS(Backlog!$M$5:$M$135,Backlog!$B$5:$B$135,$A6)</f>
        <v/>
      </c>
      <c r="I6" s="49">
        <f>IFERROR(1-H6/G6,1)</f>
        <v/>
      </c>
      <c r="J6" s="48">
        <f>IFERROR(ROUND(H6/$B$16,1),0)</f>
        <v/>
      </c>
      <c r="K6" s="46">
        <f>IF(F6&gt;0,"Có việc bị chặn",IF(I6&gt;=1,"Hoàn thành",IF(D6&gt;0,"Đang chạy","Chưa bắt đầu")))</f>
        <v/>
      </c>
    </row>
    <row r="7" ht="15" customHeight="1" s="38">
      <c r="A7" s="46" t="inlineStr">
        <is>
          <t>P2 - Chat &amp; Support</t>
        </is>
      </c>
      <c r="B7" s="47">
        <f>COUNTIFS(Backlog!$B$5:$B$135,$A7)</f>
        <v/>
      </c>
      <c r="C7" s="47">
        <f>COUNTIFS(Backlog!$B$5:$B$135,$A7,Backlog!$K$5:$K$135,"Đã xong")</f>
        <v/>
      </c>
      <c r="D7" s="47">
        <f>COUNTIFS(Backlog!$B$5:$B$135,$A7,Backlog!$K$5:$K$135,"Đang làm")</f>
        <v/>
      </c>
      <c r="E7" s="47">
        <f>COUNTIFS(Backlog!$B$5:$B$135,$A7,Backlog!$K$5:$K$135,"Chưa bắt đầu")</f>
        <v/>
      </c>
      <c r="F7" s="47">
        <f>COUNTIFS(Backlog!$B$5:$B$135,$A7,Backlog!$K$5:$K$135,"Bị chặn")</f>
        <v/>
      </c>
      <c r="G7" s="48">
        <f>SUMIFS(Backlog!$H$5:$H$135,Backlog!$B$5:$B$135,$A7)</f>
        <v/>
      </c>
      <c r="H7" s="48">
        <f>SUMIFS(Backlog!$M$5:$M$135,Backlog!$B$5:$B$135,$A7)</f>
        <v/>
      </c>
      <c r="I7" s="49">
        <f>IFERROR(1-H7/G7,1)</f>
        <v/>
      </c>
      <c r="J7" s="48">
        <f>IFERROR(ROUND(H7/$B$16,1),0)</f>
        <v/>
      </c>
      <c r="K7" s="46">
        <f>IF(F7&gt;0,"Có việc bị chặn",IF(I7&gt;=1,"Hoàn thành",IF(D7&gt;0,"Đang chạy","Chưa bắt đầu")))</f>
        <v/>
      </c>
    </row>
    <row r="8" ht="15" customHeight="1" s="38">
      <c r="A8" s="46" t="inlineStr">
        <is>
          <t>P3 - Driver App</t>
        </is>
      </c>
      <c r="B8" s="47">
        <f>COUNTIFS(Backlog!$B$5:$B$135,$A8)</f>
        <v/>
      </c>
      <c r="C8" s="47">
        <f>COUNTIFS(Backlog!$B$5:$B$135,$A8,Backlog!$K$5:$K$135,"Đã xong")</f>
        <v/>
      </c>
      <c r="D8" s="47">
        <f>COUNTIFS(Backlog!$B$5:$B$135,$A8,Backlog!$K$5:$K$135,"Đang làm")</f>
        <v/>
      </c>
      <c r="E8" s="47">
        <f>COUNTIFS(Backlog!$B$5:$B$135,$A8,Backlog!$K$5:$K$135,"Chưa bắt đầu")</f>
        <v/>
      </c>
      <c r="F8" s="47">
        <f>COUNTIFS(Backlog!$B$5:$B$135,$A8,Backlog!$K$5:$K$135,"Bị chặn")</f>
        <v/>
      </c>
      <c r="G8" s="48">
        <f>SUMIFS(Backlog!$H$5:$H$135,Backlog!$B$5:$B$135,$A8)</f>
        <v/>
      </c>
      <c r="H8" s="48">
        <f>SUMIFS(Backlog!$M$5:$M$135,Backlog!$B$5:$B$135,$A8)</f>
        <v/>
      </c>
      <c r="I8" s="49">
        <f>IFERROR(1-H8/G8,1)</f>
        <v/>
      </c>
      <c r="J8" s="48">
        <f>IFERROR(ROUND(H8/$B$16,1),0)</f>
        <v/>
      </c>
      <c r="K8" s="46">
        <f>IF(F8&gt;0,"Có việc bị chặn",IF(I8&gt;=1,"Hoàn thành",IF(D8&gt;0,"Đang chạy","Chưa bắt đầu")))</f>
        <v/>
      </c>
    </row>
    <row r="9" ht="15" customHeight="1" s="38">
      <c r="A9" s="46" t="inlineStr">
        <is>
          <t>P4 - Rider App</t>
        </is>
      </c>
      <c r="B9" s="47">
        <f>COUNTIFS(Backlog!$B$5:$B$135,$A9)</f>
        <v/>
      </c>
      <c r="C9" s="47">
        <f>COUNTIFS(Backlog!$B$5:$B$135,$A9,Backlog!$K$5:$K$135,"Đã xong")</f>
        <v/>
      </c>
      <c r="D9" s="47">
        <f>COUNTIFS(Backlog!$B$5:$B$135,$A9,Backlog!$K$5:$K$135,"Đang làm")</f>
        <v/>
      </c>
      <c r="E9" s="47">
        <f>COUNTIFS(Backlog!$B$5:$B$135,$A9,Backlog!$K$5:$K$135,"Chưa bắt đầu")</f>
        <v/>
      </c>
      <c r="F9" s="47">
        <f>COUNTIFS(Backlog!$B$5:$B$135,$A9,Backlog!$K$5:$K$135,"Bị chặn")</f>
        <v/>
      </c>
      <c r="G9" s="48">
        <f>SUMIFS(Backlog!$H$5:$H$135,Backlog!$B$5:$B$135,$A9)</f>
        <v/>
      </c>
      <c r="H9" s="48">
        <f>SUMIFS(Backlog!$M$5:$M$135,Backlog!$B$5:$B$135,$A9)</f>
        <v/>
      </c>
      <c r="I9" s="49">
        <f>IFERROR(1-H9/G9,1)</f>
        <v/>
      </c>
      <c r="J9" s="48">
        <f>IFERROR(ROUND(H9/$B$16,1),0)</f>
        <v/>
      </c>
      <c r="K9" s="46">
        <f>IF(F9&gt;0,"Có việc bị chặn",IF(I9&gt;=1,"Hoàn thành",IF(D9&gt;0,"Đang chạy","Chưa bắt đầu")))</f>
        <v/>
      </c>
    </row>
    <row r="10" ht="15" customHeight="1" s="38">
      <c r="A10" s="46" t="inlineStr">
        <is>
          <t>P5 - Ledger &amp; Finance</t>
        </is>
      </c>
      <c r="B10" s="47">
        <f>COUNTIFS(Backlog!$B$5:$B$135,$A10)</f>
        <v/>
      </c>
      <c r="C10" s="47">
        <f>COUNTIFS(Backlog!$B$5:$B$135,$A10,Backlog!$K$5:$K$135,"Đã xong")</f>
        <v/>
      </c>
      <c r="D10" s="47">
        <f>COUNTIFS(Backlog!$B$5:$B$135,$A10,Backlog!$K$5:$K$135,"Đang làm")</f>
        <v/>
      </c>
      <c r="E10" s="47">
        <f>COUNTIFS(Backlog!$B$5:$B$135,$A10,Backlog!$K$5:$K$135,"Chưa bắt đầu")</f>
        <v/>
      </c>
      <c r="F10" s="47">
        <f>COUNTIFS(Backlog!$B$5:$B$135,$A10,Backlog!$K$5:$K$135,"Bị chặn")</f>
        <v/>
      </c>
      <c r="G10" s="48">
        <f>SUMIFS(Backlog!$H$5:$H$135,Backlog!$B$5:$B$135,$A10)</f>
        <v/>
      </c>
      <c r="H10" s="48">
        <f>SUMIFS(Backlog!$M$5:$M$135,Backlog!$B$5:$B$135,$A10)</f>
        <v/>
      </c>
      <c r="I10" s="49">
        <f>IFERROR(1-H10/G10,1)</f>
        <v/>
      </c>
      <c r="J10" s="48">
        <f>IFERROR(ROUND(H10/$B$16,1),0)</f>
        <v/>
      </c>
      <c r="K10" s="46">
        <f>IF(F10&gt;0,"Có việc bị chặn",IF(I10&gt;=1,"Hoàn thành",IF(D10&gt;0,"Đang chạy","Chưa bắt đầu")))</f>
        <v/>
      </c>
    </row>
    <row r="11" ht="15" customHeight="1" s="38">
      <c r="A11" s="46" t="inlineStr">
        <is>
          <t>P6 - Partner &amp; Website</t>
        </is>
      </c>
      <c r="B11" s="47">
        <f>COUNTIFS(Backlog!$B$5:$B$135,$A11)</f>
        <v/>
      </c>
      <c r="C11" s="47">
        <f>COUNTIFS(Backlog!$B$5:$B$135,$A11,Backlog!$K$5:$K$135,"Đã xong")</f>
        <v/>
      </c>
      <c r="D11" s="47">
        <f>COUNTIFS(Backlog!$B$5:$B$135,$A11,Backlog!$K$5:$K$135,"Đang làm")</f>
        <v/>
      </c>
      <c r="E11" s="47">
        <f>COUNTIFS(Backlog!$B$5:$B$135,$A11,Backlog!$K$5:$K$135,"Chưa bắt đầu")</f>
        <v/>
      </c>
      <c r="F11" s="47">
        <f>COUNTIFS(Backlog!$B$5:$B$135,$A11,Backlog!$K$5:$K$135,"Bị chặn")</f>
        <v/>
      </c>
      <c r="G11" s="48">
        <f>SUMIFS(Backlog!$H$5:$H$135,Backlog!$B$5:$B$135,$A11)</f>
        <v/>
      </c>
      <c r="H11" s="48">
        <f>SUMIFS(Backlog!$M$5:$M$135,Backlog!$B$5:$B$135,$A11)</f>
        <v/>
      </c>
      <c r="I11" s="49">
        <f>IFERROR(1-H11/G11,1)</f>
        <v/>
      </c>
      <c r="J11" s="48">
        <f>IFERROR(ROUND(H11/$B$16,1),0)</f>
        <v/>
      </c>
      <c r="K11" s="46">
        <f>IF(F11&gt;0,"Có việc bị chặn",IF(I11&gt;=1,"Hoàn thành",IF(D11&gt;0,"Đang chạy","Chưa bắt đầu")))</f>
        <v/>
      </c>
    </row>
    <row r="12" ht="15" customHeight="1" s="38">
      <c r="A12" s="46" t="inlineStr">
        <is>
          <t>P7 - Hardening</t>
        </is>
      </c>
      <c r="B12" s="47">
        <f>COUNTIFS(Backlog!$B$5:$B$135,$A12)</f>
        <v/>
      </c>
      <c r="C12" s="47">
        <f>COUNTIFS(Backlog!$B$5:$B$135,$A12,Backlog!$K$5:$K$135,"Đã xong")</f>
        <v/>
      </c>
      <c r="D12" s="47">
        <f>COUNTIFS(Backlog!$B$5:$B$135,$A12,Backlog!$K$5:$K$135,"Đang làm")</f>
        <v/>
      </c>
      <c r="E12" s="47">
        <f>COUNTIFS(Backlog!$B$5:$B$135,$A12,Backlog!$K$5:$K$135,"Chưa bắt đầu")</f>
        <v/>
      </c>
      <c r="F12" s="47">
        <f>COUNTIFS(Backlog!$B$5:$B$135,$A12,Backlog!$K$5:$K$135,"Bị chặn")</f>
        <v/>
      </c>
      <c r="G12" s="48">
        <f>SUMIFS(Backlog!$H$5:$H$135,Backlog!$B$5:$B$135,$A12)</f>
        <v/>
      </c>
      <c r="H12" s="48">
        <f>SUMIFS(Backlog!$M$5:$M$135,Backlog!$B$5:$B$135,$A12)</f>
        <v/>
      </c>
      <c r="I12" s="49">
        <f>IFERROR(1-H12/G12,1)</f>
        <v/>
      </c>
      <c r="J12" s="48">
        <f>IFERROR(ROUND(H12/$B$16,1),0)</f>
        <v/>
      </c>
      <c r="K12" s="46">
        <f>IF(F12&gt;0,"Có việc bị chặn",IF(I12&gt;=1,"Hoàn thành",IF(D12&gt;0,"Đang chạy","Chưa bắt đầu")))</f>
        <v/>
      </c>
    </row>
    <row r="13" ht="15" customHeight="1" s="38">
      <c r="A13" s="50" t="inlineStr">
        <is>
          <t>TỔNG DỰ ÁN</t>
        </is>
      </c>
      <c r="B13" s="51">
        <f>SUM(B5:B12)</f>
        <v/>
      </c>
      <c r="C13" s="51">
        <f>SUM(C5:C12)</f>
        <v/>
      </c>
      <c r="D13" s="51">
        <f>SUM(D5:D12)</f>
        <v/>
      </c>
      <c r="E13" s="51">
        <f>SUM(E5:E12)</f>
        <v/>
      </c>
      <c r="F13" s="51">
        <f>SUM(F5:F12)</f>
        <v/>
      </c>
      <c r="G13" s="52">
        <f>SUM(G5:G12)</f>
        <v/>
      </c>
      <c r="H13" s="52">
        <f>SUM(H5:H12)</f>
        <v/>
      </c>
      <c r="I13" s="53">
        <f>IFERROR(1-H13/G13,0)</f>
        <v/>
      </c>
      <c r="J13" s="52">
        <f>IFERROR(ROUND(H13/$B$16,1),0)</f>
        <v/>
      </c>
      <c r="K13" s="50" t="n"/>
    </row>
    <row r="15" ht="15" customHeight="1" s="38">
      <c r="A15" s="44" t="inlineStr">
        <is>
          <t>GIẢ ĐỊNH TÍNH TOÁN</t>
        </is>
      </c>
    </row>
    <row r="16" ht="15" customHeight="1" s="38">
      <c r="A16" s="54" t="inlineStr">
        <is>
          <t>Năng lực đội mỗi sprint (ngày công)</t>
        </is>
      </c>
      <c r="B16" s="55">
        <f>'Đội ngũ'!F9</f>
        <v/>
      </c>
      <c r="C16" s="56" t="inlineStr">
        <is>
          <t>Tự lấy từ sheet Đội ngũ (tổng cột Năng lực thực). Sửa hệ số sẵn sàng ở sheet đó, số này tự đổi.</t>
        </is>
      </c>
    </row>
    <row r="17" ht="15" customHeight="1" s="38">
      <c r="A17" s="54" t="inlineStr">
        <is>
          <t>Độ dài sprint (tuần)</t>
        </is>
      </c>
      <c r="B17" s="57" t="n">
        <v>2</v>
      </c>
      <c r="C17" s="56" t="inlineStr">
        <is>
          <t>Chuẩn Scrum 2 tuần</t>
        </is>
      </c>
    </row>
    <row r="18" ht="15" customHeight="1" s="38">
      <c r="A18" s="54" t="inlineStr">
        <is>
          <t>Số người trong đội</t>
        </is>
      </c>
      <c r="B18" s="57" t="n">
        <v>4</v>
      </c>
      <c r="C18" s="56" t="inlineStr">
        <is>
          <t>TL, BE, MOB, FE(+QA) — theo lựa chọn đội nhỏ 3-4 người</t>
        </is>
      </c>
    </row>
    <row r="20" ht="15" customHeight="1" s="38">
      <c r="A20" s="54" t="inlineStr">
        <is>
          <t>Ước tính thời gian còn lại (sprint)</t>
        </is>
      </c>
      <c r="B20" s="58">
        <f>ROUND(H13/B16,1)</f>
        <v/>
      </c>
      <c r="C20" s="56" t="inlineStr">
        <is>
          <t>Ngày công còn lại chia cho năng lực mỗi sprint. Con số lý thuyết — chưa tính phụ thuộc tuần tự giữa các giai đoạn và điểm nghẽn mobile (xem sheet Rủi ro R1).</t>
        </is>
      </c>
    </row>
    <row r="21" ht="15" customHeight="1" s="38">
      <c r="A21" s="54" t="inlineStr">
        <is>
          <t>Ước tính thời gian còn lại (tuần)</t>
        </is>
      </c>
      <c r="B21" s="58">
        <f>ROUND(B20*B17,0)</f>
        <v/>
      </c>
    </row>
  </sheetData>
  <mergeCells count="2">
    <mergeCell ref="A2:K2"/>
    <mergeCell ref="A1:K1"/>
  </mergeCells>
  <conditionalFormatting sqref="I5:I12">
    <cfRule type="dataBar" priority="2">
      <dataBar minLength="10" maxLength="90" showValue="1">
        <cfvo type="num" val="0"/>
        <cfvo type="num" val="1"/>
        <color rgb="FF4472C4"/>
      </dataBar>
    </cfRule>
  </conditionalFormatting>
  <conditionalFormatting sqref="F5:F12">
    <cfRule type="cellIs" rank="0" priority="3" equalAverage="0" operator="greaterThan" aboveAverage="0" dxfId="0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2" customWidth="1" style="37" min="1" max="1"/>
    <col width="15" customWidth="1" style="37" min="2" max="3"/>
    <col width="72" customWidth="1" style="37" min="4" max="4"/>
    <col width="40" customWidth="1" style="37" min="5" max="5"/>
  </cols>
  <sheetData>
    <row r="1" ht="24" customHeight="1" s="38">
      <c r="A1" s="39" t="inlineStr">
        <is>
          <t>HIỆN TRẠNG — Đánh giá thực tế từng phần hệ thống</t>
        </is>
      </c>
    </row>
    <row r="2" ht="15" customHeight="1" s="38">
      <c r="A2" s="40" t="inlineStr">
        <is>
          <t>Căn cứ: rà soát toàn bộ mã nguồn ~7.500 dòng trong repo Goan ngày 03/09/2026, đã chạy thật bộ test (51/51 pass). Không phải ước lượng cảm tính.</t>
        </is>
      </c>
    </row>
    <row r="4" ht="31.5" customHeight="1" s="38">
      <c r="A4" s="45" t="inlineStr">
        <is>
          <t>Thành phần hệ thống</t>
        </is>
      </c>
      <c r="B4" s="45" t="inlineStr">
        <is>
          <t>Đánh giá</t>
        </is>
      </c>
      <c r="C4" s="45" t="inlineStr">
        <is>
          <t>Mức hoàn thiện</t>
        </is>
      </c>
      <c r="D4" s="45" t="inlineStr">
        <is>
          <t>Căn cứ (đã đọc mã nguồn)</t>
        </is>
      </c>
      <c r="E4" s="45" t="inlineStr">
        <is>
          <t>Việc còn lại nằm ở đâu</t>
        </is>
      </c>
    </row>
    <row r="5" ht="15" customHeight="1" s="38">
      <c r="A5" s="59" t="inlineStr">
        <is>
          <t>Backend - Pricing engine</t>
        </is>
      </c>
      <c r="B5" s="60" t="inlineStr">
        <is>
          <t>Đã xong</t>
        </is>
      </c>
      <c r="C5" s="61" t="n">
        <v>1</v>
      </c>
      <c r="D5" s="59" t="inlineStr">
        <is>
          <t>148 dòng service + 170 dòng test, đúng biểu giá deck (3 khung giờ, phụ thu đón xa 20k)</t>
        </is>
      </c>
      <c r="E5" s="59" t="inlineStr">
        <is>
          <t>Không cần làm lại</t>
        </is>
      </c>
    </row>
    <row r="6" ht="15" customHeight="1" s="38">
      <c r="A6" s="59" t="inlineStr">
        <is>
          <t>Backend - Trip state machine</t>
        </is>
      </c>
      <c r="B6" s="60" t="inlineStr">
        <is>
          <t>Đã xong</t>
        </is>
      </c>
      <c r="C6" s="61" t="n">
        <v>1</v>
      </c>
      <c r="D6" s="59" t="inlineStr">
        <is>
          <t>Bảng transition rõ ràng, chặn cứng in_progress chỉ từ qr_verified</t>
        </is>
      </c>
      <c r="E6" s="59" t="inlineStr">
        <is>
          <t>Nền tảng chống đơn ma đã chắc</t>
        </is>
      </c>
    </row>
    <row r="7" ht="15" customHeight="1" s="38">
      <c r="A7" s="59" t="inlineStr">
        <is>
          <t>Backend - Vòng đời chuyến</t>
        </is>
      </c>
      <c r="B7" s="60" t="inlineStr">
        <is>
          <t>Đã xong</t>
        </is>
      </c>
      <c r="C7" s="61" t="n">
        <v>1</v>
      </c>
      <c r="D7" s="59" t="inlineStr">
        <is>
          <t>Chốt cước + escrow + payment trong 1 transaction; thêm trip_events, mốc /arrived, /rate, điều phối thủ công /ops/trips/{id}/assign-driver</t>
        </is>
      </c>
      <c r="E7" s="59" t="inlineStr">
        <is>
          <t>Không còn lỗ hổng ở P0</t>
        </is>
      </c>
    </row>
    <row r="8" ht="22.35" customHeight="1" s="38">
      <c r="A8" s="59" t="inlineStr">
        <is>
          <t>Backend - Matching</t>
        </is>
      </c>
      <c r="B8" s="60" t="inlineStr">
        <is>
          <t>Gần xong</t>
        </is>
      </c>
      <c r="C8" s="61" t="n">
        <v>0.95</v>
      </c>
      <c r="D8" s="59" t="inlineStr">
        <is>
          <t>Redis GEO, nới bán kính 5/8/12km, khoá SETNX chống race, gán thủ công từ ops đã có</t>
        </is>
      </c>
      <c r="E8" s="59" t="inlineStr">
        <is>
          <t>Thiếu: trợ cấp vùng mới (đã có khung)</t>
        </is>
      </c>
    </row>
    <row r="9" ht="15" customHeight="1" s="38">
      <c r="A9" s="59" t="inlineStr">
        <is>
          <t>Backend - Escrow (ký quỹ)</t>
        </is>
      </c>
      <c r="B9" s="60" t="inlineStr">
        <is>
          <t>Đã xong</t>
        </is>
      </c>
      <c r="C9" s="61" t="n">
        <v>0.95</v>
      </c>
      <c r="D9" s="59" t="inlineStr">
        <is>
          <t>Trích 15% payout, không vượt định mức, phạt cho phép âm, hoàn quỹ 45 ngày</t>
        </is>
      </c>
      <c r="E9" s="59" t="inlineStr">
        <is>
          <t>Thiếu: duyệt maker-checker khi hoàn quỹ</t>
        </is>
      </c>
    </row>
    <row r="10" ht="15" customHeight="1" s="38">
      <c r="A10" s="59" t="inlineStr">
        <is>
          <t>Backend - Anti-fraud</t>
        </is>
      </c>
      <c r="B10" s="60" t="inlineStr">
        <is>
          <t>Đã xong</t>
        </is>
      </c>
      <c r="C10" s="61" t="n">
        <v>0.95</v>
      </c>
      <c r="D10" s="59" t="inlineStr">
        <is>
          <t>Đủ 4 cơ chế: đơn ma, chạy vòng (cap 1.5x + phạt x2), thanh toán ngoài app, tráo tài xế</t>
        </is>
      </c>
      <c r="E10" s="59" t="inlineStr">
        <is>
          <t>Thiếu: màn hình xử lý cho Risk analyst</t>
        </is>
      </c>
    </row>
    <row r="11" ht="22.35" customHeight="1" s="38">
      <c r="A11" s="59" t="inlineStr">
        <is>
          <t>Backend - Payments</t>
        </is>
      </c>
      <c r="B11" s="60" t="inlineStr">
        <is>
          <t>Một nửa</t>
        </is>
      </c>
      <c r="C11" s="61" t="n">
        <v>0.45</v>
      </c>
      <c r="D11" s="59" t="inlineStr">
        <is>
          <t>Có ví pending/available, rút tiền, đối soát ngày. Nhưng gateway là mock, không double-entry, không payout theo kỳ</t>
        </is>
      </c>
      <c r="E11" s="59" t="inlineStr">
        <is>
          <t>P5 xử lý</t>
        </is>
      </c>
    </row>
    <row r="12" ht="15" customHeight="1" s="38">
      <c r="A12" s="59" t="inlineStr">
        <is>
          <t>Backend - Partners</t>
        </is>
      </c>
      <c r="B12" s="60" t="inlineStr">
        <is>
          <t>Một nửa</t>
        </is>
      </c>
      <c r="C12" s="61" t="n">
        <v>0.55</v>
      </c>
      <c r="D12" s="59" t="inlineStr">
        <is>
          <t>Model + QR + hoa hồng + hoá đơn (mock)</t>
        </is>
      </c>
      <c r="E12" s="59" t="inlineStr">
        <is>
          <t>Thiếu: đăng nhập đối tác, portal</t>
        </is>
      </c>
    </row>
    <row r="13" ht="15" customHeight="1" s="38">
      <c r="A13" s="59" t="inlineStr">
        <is>
          <t>Backend - WebSocket</t>
        </is>
      </c>
      <c r="B13" s="60" t="inlineStr">
        <is>
          <t>Một nửa</t>
        </is>
      </c>
      <c r="C13" s="61" t="n">
        <v>0.5</v>
      </c>
      <c r="D13" s="59" t="inlineStr">
        <is>
          <t>connection_manager + Redis pub/sub + events cơ bản</t>
        </is>
      </c>
      <c r="E13" s="59" t="inlineStr">
        <is>
          <t>Cần mở rộng đa topic cho chat và ops</t>
        </is>
      </c>
    </row>
    <row r="14" ht="15" customHeight="1" s="38">
      <c r="A14" s="59" t="inlineStr">
        <is>
          <t>Backend - Auth</t>
        </is>
      </c>
      <c r="B14" s="60" t="inlineStr">
        <is>
          <t>Gần xong</t>
        </is>
      </c>
      <c r="C14" s="61" t="n">
        <v>0.85</v>
      </c>
      <c r="D14" s="59" t="inlineStr">
        <is>
          <t>OTP + JWT; access token 15 phút, xoay vòng refresh token + thu hồi cả phiên khi dùng lại token cũ, hạn mức OTP theo số điện thoại</t>
        </is>
      </c>
      <c r="E14" s="59" t="inlineStr">
        <is>
          <t>Thiếu: 2FA nội bộ cho nhân sự (P1)</t>
        </is>
      </c>
    </row>
    <row r="15" ht="15" customHeight="1" s="38">
      <c r="A15" s="59" t="inlineStr">
        <is>
          <t>Backend - Chat</t>
        </is>
      </c>
      <c r="B15" s="60" t="inlineStr">
        <is>
          <t>Chưa có</t>
        </is>
      </c>
      <c r="C15" s="61" t="n">
        <v>0</v>
      </c>
      <c r="D15" s="59" t="inlineStr">
        <is>
          <t>Không tồn tại trong code</t>
        </is>
      </c>
      <c r="E15" s="59" t="inlineStr">
        <is>
          <t>Toàn bộ P2</t>
        </is>
      </c>
    </row>
    <row r="16" ht="15" customHeight="1" s="38">
      <c r="A16" s="59" t="inlineStr">
        <is>
          <t>Backend - Support/Ticket</t>
        </is>
      </c>
      <c r="B16" s="60" t="inlineStr">
        <is>
          <t>Chưa có</t>
        </is>
      </c>
      <c r="C16" s="61" t="n">
        <v>0</v>
      </c>
      <c r="D16" s="59" t="inlineStr">
        <is>
          <t>Không tồn tại trong code</t>
        </is>
      </c>
      <c r="E16" s="59" t="inlineStr">
        <is>
          <t>Toàn bộ P2</t>
        </is>
      </c>
    </row>
    <row r="17" ht="15" customHeight="1" s="38">
      <c r="A17" s="59" t="inlineStr">
        <is>
          <t>Backend - IAM nội bộ</t>
        </is>
      </c>
      <c r="B17" s="60" t="inlineStr">
        <is>
          <t>Đã xong</t>
        </is>
      </c>
      <c r="C17" s="61" t="n">
        <v>0.95</v>
      </c>
      <c r="D17" s="59" t="inlineStr">
        <is>
          <t>domains/iam: 12 vai trò, quyền domain:action:scope, đăng nhập 2FA, maker-checker, che PII, API vận hành cho Console</t>
        </is>
      </c>
      <c r="E17" s="59" t="inlineStr">
        <is>
          <t>Thiếu: giao diện Console (P1-12…P1-19, phần frontend)</t>
        </is>
      </c>
    </row>
    <row r="18" ht="22.35" customHeight="1" s="38">
      <c r="A18" s="59" t="inlineStr">
        <is>
          <t>Backend - Tracking (lưu trữ)</t>
        </is>
      </c>
      <c r="B18" s="60" t="inlineStr">
        <is>
          <t>Một nửa</t>
        </is>
      </c>
      <c r="C18" s="61" t="n">
        <v>0.5</v>
      </c>
      <c r="D18" s="59" t="inlineStr">
        <is>
          <t>Ghi GPS từng điểm vào DB, có gps-history</t>
        </is>
      </c>
      <c r="E18" s="59" t="inlineStr">
        <is>
          <t>Thiếu: ghi theo lô, nén, chính sách lưu trữ, bản đồ đội</t>
        </is>
      </c>
    </row>
    <row r="19" ht="22.35" customHeight="1" s="38">
      <c r="A19" s="59" t="inlineStr">
        <is>
          <t>App khách (goan-customer-app)</t>
        </is>
      </c>
      <c r="B19" s="60" t="inlineStr">
        <is>
          <t>Một nửa</t>
        </is>
      </c>
      <c r="C19" s="61" t="n">
        <v>0.6</v>
      </c>
      <c r="D19" s="59" t="inlineStr">
        <is>
          <t>Đã viết lại tầng API, chạy thật với backend: 9/9 đường dẫn khớp openapi.json, tự làm mới token khi 401</t>
        </is>
      </c>
      <c r="E19" s="59" t="inlineStr">
        <is>
          <t>Thiếu: bản đồ, gợi ý địa chỉ, quét QR bằng camera, thanh toán, SOS</t>
        </is>
      </c>
    </row>
    <row r="20" ht="15" customHeight="1" s="38">
      <c r="A20" s="59" t="inlineStr">
        <is>
          <t>App tài xế</t>
        </is>
      </c>
      <c r="B20" s="60" t="inlineStr">
        <is>
          <t>Chưa có</t>
        </is>
      </c>
      <c r="C20" s="61" t="n">
        <v>0</v>
      </c>
      <c r="D20" s="59" t="inlineStr">
        <is>
          <t>Không tồn tại</t>
        </is>
      </c>
      <c r="E20" s="59" t="inlineStr">
        <is>
          <t>Toàn bộ P3 — phần rủi ro cao nhất</t>
        </is>
      </c>
    </row>
    <row r="21" ht="15" customHeight="1" s="38">
      <c r="A21" s="59" t="inlineStr">
        <is>
          <t>Console quản lý</t>
        </is>
      </c>
      <c r="B21" s="60" t="inlineStr">
        <is>
          <t>Một nửa</t>
        </is>
      </c>
      <c r="C21" s="61" t="n">
        <v>0.4</v>
      </c>
      <c r="D21" s="59" t="inlineStr">
        <is>
          <t>Backend đã đủ API: IAM, audit, fleet, duyệt tài xế, tra cứu chuyến, duyệt chi tiền</t>
        </is>
      </c>
      <c r="E21" s="59" t="inlineStr">
        <is>
          <t>Thiếu toàn bộ phần giao diện (P1-12…P1-19)</t>
        </is>
      </c>
    </row>
    <row r="22" ht="15" customHeight="1" s="38">
      <c r="A22" s="59" t="inlineStr">
        <is>
          <t>Partner Portal</t>
        </is>
      </c>
      <c r="B22" s="60" t="inlineStr">
        <is>
          <t>Chưa có</t>
        </is>
      </c>
      <c r="C22" s="61" t="n">
        <v>0</v>
      </c>
      <c r="D22" s="59" t="inlineStr">
        <is>
          <t>Không tồn tại</t>
        </is>
      </c>
      <c r="E22" s="59" t="inlineStr">
        <is>
          <t>P6</t>
        </is>
      </c>
    </row>
    <row r="23" ht="15" customHeight="1" s="38">
      <c r="A23" s="59" t="inlineStr">
        <is>
          <t>Website + CMS</t>
        </is>
      </c>
      <c r="B23" s="60" t="inlineStr">
        <is>
          <t>Chưa có</t>
        </is>
      </c>
      <c r="C23" s="61" t="n">
        <v>0</v>
      </c>
      <c r="D23" s="59" t="inlineStr">
        <is>
          <t>Không tồn tại</t>
        </is>
      </c>
      <c r="E23" s="59" t="inlineStr">
        <is>
          <t>P6</t>
        </is>
      </c>
    </row>
    <row r="24" ht="15" customHeight="1" s="38">
      <c r="A24" s="59" t="inlineStr">
        <is>
          <t>Hạ tầng CI/CD, staging</t>
        </is>
      </c>
      <c r="B24" s="60" t="inlineStr">
        <is>
          <t>Một nửa</t>
        </is>
      </c>
      <c r="C24" s="61" t="n">
        <v>0.3</v>
      </c>
      <c r="D24" s="59" t="inlineStr">
        <is>
          <t>CI 4 job xanh (lint/type/test+ngưỡng độ phủ, alembic check, contract API, build frontend)</t>
        </is>
      </c>
      <c r="E24" s="59" t="inlineStr">
        <is>
          <t>Thiếu: staging, quản lý secret, backup PITR — P0-10/11/18</t>
        </is>
      </c>
    </row>
    <row r="25" ht="15" customHeight="1" s="38">
      <c r="A25" s="59" t="inlineStr">
        <is>
          <t>Kiểm thử tự động</t>
        </is>
      </c>
      <c r="B25" s="60" t="inlineStr">
        <is>
          <t>Một nửa</t>
        </is>
      </c>
      <c r="C25" s="61" t="n">
        <v>0.75</v>
      </c>
      <c r="D25" s="59" t="inlineStr">
        <is>
          <t>243 test backend xanh, độ phủ 82%; smoke 22 bước và audit 62 lời gọi trên server thật</t>
        </is>
      </c>
      <c r="E25" s="59" t="inlineStr">
        <is>
          <t>Thiếu: test frontend và E2E qua app trên staging</t>
        </is>
      </c>
    </row>
    <row r="26" ht="15" customHeight="1" s="38">
      <c r="A26" s="59" t="inlineStr">
        <is>
          <t>Tài liệu thiết kế</t>
        </is>
      </c>
      <c r="B26" s="60" t="inlineStr">
        <is>
          <t>Đã xong</t>
        </is>
      </c>
      <c r="C26" s="61" t="n">
        <v>1</v>
      </c>
      <c r="D26" s="59" t="inlineStr">
        <is>
          <t>4 tài liệu: kiến trúc, luồng thanh toán, phân định hệ thống, CLAUDE.md</t>
        </is>
      </c>
      <c r="E26" s="59" t="inlineStr">
        <is>
          <t>Cập nhật khi có quyết định mới</t>
        </is>
      </c>
    </row>
  </sheetData>
  <mergeCells count="2">
    <mergeCell ref="A2:E2"/>
    <mergeCell ref="A1:E1"/>
  </mergeCells>
  <conditionalFormatting sqref="C5:C26">
    <cfRule type="dataBar" priority="2">
      <dataBar minLength="10" maxLength="90" showValue="1">
        <cfvo type="num" val="0"/>
        <cfvo type="num" val="1"/>
        <color rgb="FF63C384"/>
      </dataBar>
    </cfRule>
  </conditionalFormatting>
  <conditionalFormatting sqref="B5:B26">
    <cfRule type="cellIs" rank="0" priority="3" equalAverage="0" operator="equal" aboveAverage="0" dxfId="0" text="" percent="0" bottom="0">
      <formula>"Chưa có"</formula>
    </cfRule>
    <cfRule type="cellIs" rank="0" priority="4" equalAverage="0" operator="equal" aboveAverage="0" dxfId="1" text="" percent="0" bottom="0">
      <formula>"Đã xong"</formula>
    </cfRule>
    <cfRule type="cellIs" rank="0" priority="5" equalAverage="0" operator="equal" aboveAverage="0" dxfId="2" text="" percent="0" bottom="0">
      <formula>"Phải làm lại"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1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37" min="1" max="1"/>
    <col width="22" customWidth="1" style="37" min="2" max="2"/>
    <col width="12" customWidth="1" style="37" min="3" max="3"/>
    <col width="44" customWidth="1" style="37" min="4" max="5"/>
    <col width="7" customWidth="1" style="37" min="6" max="6"/>
    <col width="12" customWidth="1" style="37" min="7" max="7"/>
    <col width="9" customWidth="1" style="37" min="8" max="8"/>
    <col width="13" customWidth="1" style="37" min="9" max="9"/>
    <col width="22" customWidth="1" style="37" min="10" max="10"/>
    <col width="13" customWidth="1" style="37" min="11" max="11"/>
    <col width="9" customWidth="1" style="37" min="12" max="12"/>
    <col width="10" customWidth="1" style="37" min="13" max="13"/>
    <col width="8" customWidth="1" style="37" min="14" max="14"/>
    <col width="52" customWidth="1" style="37" min="15" max="15"/>
  </cols>
  <sheetData>
    <row r="1" ht="24" customHeight="1" s="38">
      <c r="A1" s="39" t="inlineStr">
        <is>
          <t>BACKLOG — Danh sách công việc</t>
        </is>
      </c>
    </row>
    <row r="2" ht="15" customHeight="1" s="38">
      <c r="A2" s="40" t="inlineStr">
        <is>
          <t>Chỉ cần cập nhật cột K (Trạng thái) và L (% hoàn thành). Cột M tự tính. Cột O ghi căn cứ đánh giá hiện trạng.</t>
        </is>
      </c>
    </row>
    <row r="4" ht="31.5" customHeight="1" s="38">
      <c r="A4" s="45" t="inlineStr">
        <is>
          <t>ID</t>
        </is>
      </c>
      <c r="B4" s="45" t="inlineStr">
        <is>
          <t>Giai đoạn</t>
        </is>
      </c>
      <c r="C4" s="45" t="inlineStr">
        <is>
          <t>Nhóm</t>
        </is>
      </c>
      <c r="D4" s="45" t="inlineStr">
        <is>
          <t>Công việc</t>
        </is>
      </c>
      <c r="E4" s="45" t="inlineStr">
        <is>
          <t>Định nghĩa hoàn thành (DoD)</t>
        </is>
      </c>
      <c r="F4" s="45" t="inlineStr">
        <is>
          <t>Vai trò</t>
        </is>
      </c>
      <c r="G4" s="45" t="inlineStr">
        <is>
          <t>Người làm</t>
        </is>
      </c>
      <c r="H4" s="45" t="inlineStr">
        <is>
          <t>Ước tính (ngày)</t>
        </is>
      </c>
      <c r="I4" s="45" t="inlineStr">
        <is>
          <t>Ưu tiên</t>
        </is>
      </c>
      <c r="J4" s="45" t="inlineStr">
        <is>
          <t>Phụ thuộc</t>
        </is>
      </c>
      <c r="K4" s="45" t="inlineStr">
        <is>
          <t>Trạng thái</t>
        </is>
      </c>
      <c r="L4" s="45" t="inlineStr">
        <is>
          <t>% hoàn thành</t>
        </is>
      </c>
      <c r="M4" s="45" t="inlineStr">
        <is>
          <t>Ngày công còn lại</t>
        </is>
      </c>
      <c r="N4" s="45" t="inlineStr">
        <is>
          <t>Sprint</t>
        </is>
      </c>
      <c r="O4" s="45" t="inlineStr">
        <is>
          <t>Căn cứ đánh giá / Ghi chú</t>
        </is>
      </c>
    </row>
    <row r="5" ht="43.25" customHeight="1" s="38">
      <c r="A5" s="62" t="inlineStr">
        <is>
          <t>P0-01</t>
        </is>
      </c>
      <c r="B5" s="59" t="inlineStr">
        <is>
          <t>P0 - Dọn nền</t>
        </is>
      </c>
      <c r="C5" s="59" t="inlineStr">
        <is>
          <t>Repo</t>
        </is>
      </c>
      <c r="D5" s="59" t="inlineStr">
        <is>
          <t>Quyết định &amp; xoá goan-backend (bản nháp cũ)</t>
        </is>
      </c>
      <c r="E5" s="59" t="inlineStr">
        <is>
          <t>Repo chỉ còn 1 backend; README ghi rõ lý do</t>
        </is>
      </c>
      <c r="F5" s="62" t="inlineStr">
        <is>
          <t>TL</t>
        </is>
      </c>
      <c r="G5" s="59" t="n"/>
      <c r="H5" s="63" t="n">
        <v>1</v>
      </c>
      <c r="I5" s="62" t="inlineStr">
        <is>
          <t>P0-Bắt buộc</t>
        </is>
      </c>
      <c r="J5" s="59" t="n"/>
      <c r="K5" s="62" t="inlineStr">
        <is>
          <t>Đang làm</t>
        </is>
      </c>
      <c r="L5" s="64" t="n">
        <v>0.7</v>
      </c>
      <c r="M5" s="63">
        <f>H5*(1-L5)</f>
        <v/>
      </c>
      <c r="N5" s="62" t="n"/>
      <c r="O5" s="59" t="inlineStr">
        <is>
          <t>03/09: đã chuyển thành services/_deprecated-api-v0 kèm DEPRECATED.md. Điều kiện xoá ĐÃ ĐẠT (P4-12 xong, app khách không còn phụ thuộc). Chỉ còn thao tác xoá thư mục.</t>
        </is>
      </c>
    </row>
    <row r="6" ht="32.8" customHeight="1" s="38">
      <c r="A6" s="62" t="inlineStr">
        <is>
          <t>P0-02</t>
        </is>
      </c>
      <c r="B6" s="59" t="inlineStr">
        <is>
          <t>P0 - Dọn nền</t>
        </is>
      </c>
      <c r="C6" s="59" t="inlineStr">
        <is>
          <t>Repo</t>
        </is>
      </c>
      <c r="D6" s="59" t="inlineStr">
        <is>
          <t>Dựng monorepo pnpm workspace + Turborepo</t>
        </is>
      </c>
      <c r="E6" s="59" t="inlineStr">
        <is>
          <t>pnpm i chạy được ở root; turbo build/lint/test xanh</t>
        </is>
      </c>
      <c r="F6" s="62" t="inlineStr">
        <is>
          <t>TL</t>
        </is>
      </c>
      <c r="G6" s="59" t="n"/>
      <c r="H6" s="63" t="n">
        <v>3</v>
      </c>
      <c r="I6" s="62" t="inlineStr">
        <is>
          <t>P0-Bắt buộc</t>
        </is>
      </c>
      <c r="J6" s="59" t="n"/>
      <c r="K6" s="62" t="inlineStr">
        <is>
          <t>Đã xong</t>
        </is>
      </c>
      <c r="L6" s="64" t="n">
        <v>1</v>
      </c>
      <c r="M6" s="63">
        <f>H6*(1-L6)</f>
        <v/>
      </c>
      <c r="N6" s="62" t="n"/>
      <c r="O6" s="59" t="inlineStr">
        <is>
          <t>03/09 XONG: pnpm-workspace.yaml + turbo.json + .editorconfig + README. pnpm install xanh (244 gói), pnpm-lock.yaml đã commit, pnpm build xanh</t>
        </is>
      </c>
    </row>
    <row r="7" ht="22.35" customHeight="1" s="38">
      <c r="A7" s="62" t="inlineStr">
        <is>
          <t>P0-03</t>
        </is>
      </c>
      <c r="B7" s="59" t="inlineStr">
        <is>
          <t>P0 - Dọn nền</t>
        </is>
      </c>
      <c r="C7" s="59" t="inlineStr">
        <is>
          <t>Repo</t>
        </is>
      </c>
      <c r="D7" s="59" t="inlineStr">
        <is>
          <t>Di chuyển goan-backend-spec → services/api</t>
        </is>
      </c>
      <c r="E7" s="59" t="inlineStr">
        <is>
          <t>CI xanh sau khi đổi đường dẫn; import không gãy</t>
        </is>
      </c>
      <c r="F7" s="62" t="inlineStr">
        <is>
          <t>BE</t>
        </is>
      </c>
      <c r="G7" s="59" t="n"/>
      <c r="H7" s="63" t="n">
        <v>1</v>
      </c>
      <c r="I7" s="62" t="inlineStr">
        <is>
          <t>P0-Bắt buộc</t>
        </is>
      </c>
      <c r="J7" s="59" t="inlineStr">
        <is>
          <t>Dựng monorepo</t>
        </is>
      </c>
      <c r="K7" s="62" t="inlineStr">
        <is>
          <t>Đã xong</t>
        </is>
      </c>
      <c r="L7" s="64" t="n">
        <v>1</v>
      </c>
      <c r="M7" s="63">
        <f>H7*(1-L7)</f>
        <v/>
      </c>
      <c r="N7" s="62" t="n"/>
      <c r="O7" s="59" t="inlineStr">
        <is>
          <t>03/09 XONG: 181 file đổi đường dẫn, 51/51 test vẫn xanh. goan-customer-app → apps/customer-web (@goan/customer-web)</t>
        </is>
      </c>
    </row>
    <row r="8" ht="22.35" customHeight="1" s="38">
      <c r="A8" s="62" t="inlineStr">
        <is>
          <t>P0-04</t>
        </is>
      </c>
      <c r="B8" s="59" t="inlineStr">
        <is>
          <t>P0 - Dọn nền</t>
        </is>
      </c>
      <c r="C8" s="59" t="inlineStr">
        <is>
          <t>Repo</t>
        </is>
      </c>
      <c r="D8" s="59" t="inlineStr">
        <is>
          <t>Gom 4 file .md vào docs/</t>
        </is>
      </c>
      <c r="E8" s="59" t="inlineStr">
        <is>
          <t>docs/ có đủ 4 tài liệu, README root trỏ tới</t>
        </is>
      </c>
      <c r="F8" s="62" t="inlineStr">
        <is>
          <t>TL</t>
        </is>
      </c>
      <c r="G8" s="59" t="n"/>
      <c r="H8" s="63" t="n">
        <v>0.5</v>
      </c>
      <c r="I8" s="62" t="inlineStr">
        <is>
          <t>P2-Trung bình</t>
        </is>
      </c>
      <c r="J8" s="59" t="inlineStr">
        <is>
          <t>Dựng monorepo</t>
        </is>
      </c>
      <c r="K8" s="62" t="inlineStr">
        <is>
          <t>Đã xong</t>
        </is>
      </c>
      <c r="L8" s="64" t="n">
        <v>1</v>
      </c>
      <c r="M8" s="63">
        <f>H8*(1-L8)</f>
        <v/>
      </c>
      <c r="N8" s="62" t="n"/>
      <c r="O8" s="59" t="inlineStr">
        <is>
          <t>03/09 XONG: docs/ có 3 tài liệu + file tracker này. README root có bảng dẫn đường</t>
        </is>
      </c>
    </row>
    <row r="9" ht="32.8" customHeight="1" s="38">
      <c r="A9" s="62" t="inlineStr">
        <is>
          <t>P0-05</t>
        </is>
      </c>
      <c r="B9" s="59" t="inlineStr">
        <is>
          <t>P0 - Dọn nền</t>
        </is>
      </c>
      <c r="C9" s="59" t="inlineStr">
        <is>
          <t>Backend</t>
        </is>
      </c>
      <c r="D9" s="59" t="inlineStr">
        <is>
          <t>Chuẩn hoá lint/type: ruff + mypy strict cho services/api</t>
        </is>
      </c>
      <c r="E9" s="59" t="inlineStr">
        <is>
          <t>0 lỗi ruff, mypy pass ở mức strict cho domains/</t>
        </is>
      </c>
      <c r="F9" s="62" t="inlineStr">
        <is>
          <t>BE</t>
        </is>
      </c>
      <c r="G9" s="59" t="n"/>
      <c r="H9" s="63" t="n">
        <v>2</v>
      </c>
      <c r="I9" s="62" t="inlineStr">
        <is>
          <t>P1-Cao</t>
        </is>
      </c>
      <c r="J9" s="59" t="n"/>
      <c r="K9" s="62" t="inlineStr">
        <is>
          <t>Đã xong</t>
        </is>
      </c>
      <c r="L9" s="64" t="n">
        <v>1</v>
      </c>
      <c r="M9" s="63">
        <f>H9*(1-L9)</f>
        <v/>
      </c>
      <c r="N9" s="62" t="n"/>
      <c r="O9" s="59" t="inlineStr">
        <is>
          <t>03/09 XONG: ruff (E,F,I,UP,B,C4,SIM,ASYNC) sạch sau khi sửa 92 lỗi; ruff format toàn bộ; mypy SẠCH 78 file. Sửa được 3 bug tiềm ẩn thật — xem sheet Nhật ký</t>
        </is>
      </c>
    </row>
    <row r="10" ht="32.8" customHeight="1" s="38">
      <c r="A10" s="62" t="inlineStr">
        <is>
          <t>P0-06</t>
        </is>
      </c>
      <c r="B10" s="59" t="inlineStr">
        <is>
          <t>P0 - Dọn nền</t>
        </is>
      </c>
      <c r="C10" s="59" t="inlineStr">
        <is>
          <t>Backend</t>
        </is>
      </c>
      <c r="D10" s="59" t="inlineStr">
        <is>
          <t>Sinh OpenAPI → packages/api-client (TypeScript SDK)</t>
        </is>
      </c>
      <c r="E10" s="59" t="inlineStr">
        <is>
          <t>Chạy 1 lệnh sinh lại SDK; CI đỏ nếu SDK lệch backend</t>
        </is>
      </c>
      <c r="F10" s="62" t="inlineStr">
        <is>
          <t>BE</t>
        </is>
      </c>
      <c r="G10" s="59" t="n"/>
      <c r="H10" s="63" t="n">
        <v>3</v>
      </c>
      <c r="I10" s="62" t="inlineStr">
        <is>
          <t>P0-Bắt buộc</t>
        </is>
      </c>
      <c r="J10" s="59" t="inlineStr">
        <is>
          <t>Di chuyển services/api</t>
        </is>
      </c>
      <c r="K10" s="62" t="inlineStr">
        <is>
          <t>Đã xong</t>
        </is>
      </c>
      <c r="L10" s="64" t="n">
        <v>1</v>
      </c>
      <c r="M10" s="63">
        <f>H10*(1-L10)</f>
        <v/>
      </c>
      <c r="N10" s="62" t="n"/>
      <c r="O10" s="59" t="inlineStr">
        <is>
          <t>03/09 XONG: export_openapi.py xuất 33 đường dẫn / 54 schema; openapi-typescript sinh schema.d.ts 2.168 dòng; @goan/api-client typecheck sạch; CI có job so sánh chống lệch</t>
        </is>
      </c>
    </row>
    <row r="11" ht="32.8" customHeight="1" s="38">
      <c r="A11" s="62" t="inlineStr">
        <is>
          <t>P0-07</t>
        </is>
      </c>
      <c r="B11" s="59" t="inlineStr">
        <is>
          <t>P0 - Dọn nền</t>
        </is>
      </c>
      <c r="C11" s="59" t="inlineStr">
        <is>
          <t>DevOps</t>
        </is>
      </c>
      <c r="D11" s="59" t="inlineStr">
        <is>
          <t>GitHub Actions: lint + typecheck + pytest + build</t>
        </is>
      </c>
      <c r="E11" s="59" t="inlineStr">
        <is>
          <t>PR không merge được khi CI đỏ</t>
        </is>
      </c>
      <c r="F11" s="62" t="inlineStr">
        <is>
          <t>TL</t>
        </is>
      </c>
      <c r="G11" s="59" t="n"/>
      <c r="H11" s="63" t="n">
        <v>3</v>
      </c>
      <c r="I11" s="62" t="inlineStr">
        <is>
          <t>P0-Bắt buộc</t>
        </is>
      </c>
      <c r="J11" s="59" t="inlineStr">
        <is>
          <t>Dựng monorepo</t>
        </is>
      </c>
      <c r="K11" s="62" t="inlineStr">
        <is>
          <t>Đang làm</t>
        </is>
      </c>
      <c r="L11" s="64" t="n">
        <v>0.85</v>
      </c>
      <c r="M11" s="63">
        <f>H11*(1-L11)</f>
        <v/>
      </c>
      <c r="N11" s="62" t="n"/>
      <c r="O11" s="59" t="inlineStr">
        <is>
          <t>03/09: .github/workflows/ci.yml 4 job (backend, migration-check, api-contract, frontend) đều xanh. Còn: bật branch protection trên GitHub để PR đỏ không merge được — thao tác trên giao diện.</t>
        </is>
      </c>
    </row>
    <row r="12" ht="32.8" customHeight="1" s="38">
      <c r="A12" s="62" t="inlineStr">
        <is>
          <t>P0-08</t>
        </is>
      </c>
      <c r="B12" s="59" t="inlineStr">
        <is>
          <t>P0 - Dọn nền</t>
        </is>
      </c>
      <c r="C12" s="59" t="inlineStr">
        <is>
          <t>DevOps</t>
        </is>
      </c>
      <c r="D12" s="59" t="inlineStr">
        <is>
          <t>CI kiểm tra model vs migration (alembic check)</t>
        </is>
      </c>
      <c r="E12" s="59" t="inlineStr">
        <is>
          <t>Sửa model mà quên migration → CI đỏ</t>
        </is>
      </c>
      <c r="F12" s="62" t="inlineStr">
        <is>
          <t>BE</t>
        </is>
      </c>
      <c r="G12" s="59" t="n"/>
      <c r="H12" s="63" t="n">
        <v>2</v>
      </c>
      <c r="I12" s="62" t="inlineStr">
        <is>
          <t>P1-Cao</t>
        </is>
      </c>
      <c r="J12" s="59" t="inlineStr">
        <is>
          <t>GitHub Actions</t>
        </is>
      </c>
      <c r="K12" s="62" t="inlineStr">
        <is>
          <t>Đã xong</t>
        </is>
      </c>
      <c r="L12" s="64" t="n">
        <v>1</v>
      </c>
      <c r="M12" s="63">
        <f>H12*(1-L12)</f>
        <v/>
      </c>
      <c r="N12" s="62" t="n"/>
      <c r="O12" s="59" t="inlineStr">
        <is>
          <t>03/09 XONG: job migration-check chạy alembic upgrade head + alembic check trên container postgis:16-3.4. Sửa model mà quên migration là CI đỏ ngay.</t>
        </is>
      </c>
    </row>
    <row r="13" ht="22.35" customHeight="1" s="38">
      <c r="A13" s="62" t="inlineStr">
        <is>
          <t>P0-09</t>
        </is>
      </c>
      <c r="B13" s="59" t="inlineStr">
        <is>
          <t>P0 - Dọn nền</t>
        </is>
      </c>
      <c r="C13" s="59" t="inlineStr">
        <is>
          <t>DevOps</t>
        </is>
      </c>
      <c r="D13" s="59" t="inlineStr">
        <is>
          <t>Docker Compose dev đầy đủ (api, postgres+postgis, redis, celery worker/beat)</t>
        </is>
      </c>
      <c r="E13" s="59" t="inlineStr">
        <is>
          <t>docker compose up chạy được toàn bộ stack</t>
        </is>
      </c>
      <c r="F13" s="62" t="inlineStr">
        <is>
          <t>TL</t>
        </is>
      </c>
      <c r="G13" s="59" t="n"/>
      <c r="H13" s="63" t="n">
        <v>2</v>
      </c>
      <c r="I13" s="62" t="inlineStr">
        <is>
          <t>P1-Cao</t>
        </is>
      </c>
      <c r="J13" s="59" t="n"/>
      <c r="K13" s="62" t="inlineStr">
        <is>
          <t>Đang làm</t>
        </is>
      </c>
      <c r="L13" s="64" t="n">
        <v>0.9</v>
      </c>
      <c r="M13" s="63">
        <f>H13*(1-L13)</f>
        <v/>
      </c>
      <c r="N13" s="62" t="n"/>
      <c r="O13" s="59" t="inlineStr">
        <is>
          <t>03/09: compose đủ 4 dịch vụ (postgres+postgis, redis, app, worker chạy kèm beat -B); docker compose config hợp lệ. Còn: chạy up kiểm chứng trên máy có Docker.</t>
        </is>
      </c>
    </row>
    <row r="14" ht="15" customHeight="1" s="38">
      <c r="A14" s="62" t="inlineStr">
        <is>
          <t>P0-10</t>
        </is>
      </c>
      <c r="B14" s="59" t="inlineStr">
        <is>
          <t>P0 - Dọn nền</t>
        </is>
      </c>
      <c r="C14" s="59" t="inlineStr">
        <is>
          <t>DevOps</t>
        </is>
      </c>
      <c r="D14" s="59" t="inlineStr">
        <is>
          <t>Dựng môi trường staging (VPS + domain + TLS)</t>
        </is>
      </c>
      <c r="E14" s="59" t="inlineStr">
        <is>
          <t>Deploy tự động từ nhánh main lên staging</t>
        </is>
      </c>
      <c r="F14" s="62" t="inlineStr">
        <is>
          <t>TL</t>
        </is>
      </c>
      <c r="G14" s="59" t="n"/>
      <c r="H14" s="63" t="n">
        <v>5</v>
      </c>
      <c r="I14" s="62" t="inlineStr">
        <is>
          <t>P0-Bắt buộc</t>
        </is>
      </c>
      <c r="J14" s="59" t="inlineStr">
        <is>
          <t>GitHub Actions</t>
        </is>
      </c>
      <c r="K14" s="62" t="inlineStr">
        <is>
          <t>Chưa bắt đầu</t>
        </is>
      </c>
      <c r="L14" s="64" t="n">
        <v>0</v>
      </c>
      <c r="M14" s="63">
        <f>H14*(1-L14)</f>
        <v/>
      </c>
      <c r="N14" s="62" t="n"/>
      <c r="O14" s="59" t="n"/>
    </row>
    <row r="15" ht="22.35" customHeight="1" s="38">
      <c r="A15" s="62" t="inlineStr">
        <is>
          <t>P0-11</t>
        </is>
      </c>
      <c r="B15" s="59" t="inlineStr">
        <is>
          <t>P0 - Dọn nền</t>
        </is>
      </c>
      <c r="C15" s="59" t="inlineStr">
        <is>
          <t>DevOps</t>
        </is>
      </c>
      <c r="D15" s="59" t="inlineStr">
        <is>
          <t>Quản lý secret (SOPS hoặc Doppler), gỡ secret khỏi .env trong repo</t>
        </is>
      </c>
      <c r="E15" s="59" t="inlineStr">
        <is>
          <t>Không còn secret nào trong git; khoá tách theo môi trường</t>
        </is>
      </c>
      <c r="F15" s="62" t="inlineStr">
        <is>
          <t>TL</t>
        </is>
      </c>
      <c r="G15" s="59" t="n"/>
      <c r="H15" s="63" t="n">
        <v>2</v>
      </c>
      <c r="I15" s="62" t="inlineStr">
        <is>
          <t>P0-Bắt buộc</t>
        </is>
      </c>
      <c r="J15" s="59" t="n"/>
      <c r="K15" s="62" t="inlineStr">
        <is>
          <t>Chưa bắt đầu</t>
        </is>
      </c>
      <c r="L15" s="64" t="n">
        <v>0</v>
      </c>
      <c r="M15" s="63">
        <f>H15*(1-L15)</f>
        <v/>
      </c>
      <c r="N15" s="62" t="n"/>
      <c r="O15" s="59" t="inlineStr">
        <is>
          <t>Hiện .env đang bị gitignore đúng, nhưng chưa có cơ chế quản lý khoá production</t>
        </is>
      </c>
    </row>
    <row r="16" ht="64.15000000000001" customHeight="1" s="38">
      <c r="A16" s="62" t="inlineStr">
        <is>
          <t>P0-12</t>
        </is>
      </c>
      <c r="B16" s="59" t="inlineStr">
        <is>
          <t>P0 - Dọn nền</t>
        </is>
      </c>
      <c r="C16" s="59" t="inlineStr">
        <is>
          <t>Backend</t>
        </is>
      </c>
      <c r="D16" s="59" t="inlineStr">
        <is>
          <t>Nâng cấp rate limit: cửa sổ trượt + hạn mức riêng theo endpoint</t>
        </is>
      </c>
      <c r="E16" s="59" t="inlineStr">
        <is>
          <t>Không lách được ở ranh giới phút; OTP có hạn mức riêng</t>
        </is>
      </c>
      <c r="F16" s="62" t="inlineStr">
        <is>
          <t>BE</t>
        </is>
      </c>
      <c r="G16" s="59" t="n"/>
      <c r="H16" s="63" t="n">
        <v>3</v>
      </c>
      <c r="I16" s="62" t="inlineStr">
        <is>
          <t>P0-Bắt buộc</t>
        </is>
      </c>
      <c r="J16" s="59" t="n"/>
      <c r="K16" s="62" t="inlineStr">
        <is>
          <t>Đã xong</t>
        </is>
      </c>
      <c r="L16" s="64" t="n">
        <v>1</v>
      </c>
      <c r="M16" s="63">
        <f>H16*(1-L16)</f>
        <v/>
      </c>
      <c r="N16" s="62" t="n"/>
      <c r="O16" s="59" t="inlineStr">
        <is>
          <t>SỬA ĐÁNH GIÁ TRƯỚC: rate limit vốn ĐÃ dùng Redis, không phải in-process — đánh giá ban đầu sai. Vấn đề thật là cửa sổ cố định theo phút cho gửi gấp đôi hạn mức quanh ranh giới. 03/09 XONG: đổi sang ZSET cửa sổ trượt, thêm hạn mức riêng request-otp 5/5phút, verify-otp 10/5phút, tạo chuyến 20/phút, kèm header X-RateLimit-*</t>
        </is>
      </c>
    </row>
    <row r="17" ht="43.25" customHeight="1" s="38">
      <c r="A17" s="62" t="inlineStr">
        <is>
          <t>P0-13</t>
        </is>
      </c>
      <c r="B17" s="59" t="inlineStr">
        <is>
          <t>P0 - Dọn nền</t>
        </is>
      </c>
      <c r="C17" s="59" t="inlineStr">
        <is>
          <t>Backend</t>
        </is>
      </c>
      <c r="D17" s="59" t="inlineStr">
        <is>
          <t>Middleware Idempotency-Key dùng chung cho mọi POST chạm tiền</t>
        </is>
      </c>
      <c r="E17" s="59" t="inlineStr">
        <is>
          <t>Gửi trùng request không tạo 2 bản ghi; lưu Redis 24h</t>
        </is>
      </c>
      <c r="F17" s="62" t="inlineStr">
        <is>
          <t>BE</t>
        </is>
      </c>
      <c r="G17" s="59" t="n"/>
      <c r="H17" s="63" t="n">
        <v>3</v>
      </c>
      <c r="I17" s="62" t="inlineStr">
        <is>
          <t>P0-Bắt buộc</t>
        </is>
      </c>
      <c r="J17" s="59" t="n"/>
      <c r="K17" s="62" t="inlineStr">
        <is>
          <t>Đã xong</t>
        </is>
      </c>
      <c r="L17" s="64" t="n">
        <v>1</v>
      </c>
      <c r="M17" s="63">
        <f>H17*(1-L17)</f>
        <v/>
      </c>
      <c r="N17" s="62" t="n"/>
      <c r="O17" s="59" t="inlineStr">
        <is>
          <t>03/09 XONG: core/idempotency.py bảo vệ 5 nhóm endpoint (tạo chuyến, complete, cancel, withdraw, accept). Gửi trùng phát lại response cũ; bản gốc đang chạy trả 409. Chỉ cache kết quả thành công. 16 test QA-IDM</t>
        </is>
      </c>
    </row>
    <row r="18" ht="43.25" customHeight="1" s="38">
      <c r="A18" s="62" t="inlineStr">
        <is>
          <t>P0-14</t>
        </is>
      </c>
      <c r="B18" s="59" t="inlineStr">
        <is>
          <t>P0 - Dọn nền</t>
        </is>
      </c>
      <c r="C18" s="59" t="inlineStr">
        <is>
          <t>Backend</t>
        </is>
      </c>
      <c r="D18" s="59" t="inlineStr">
        <is>
          <t>Xoay vòng refresh token + danh sách thu hồi</t>
        </is>
      </c>
      <c r="E18" s="59" t="inlineStr">
        <is>
          <t>Dùng lại refresh cũ → thu hồi cả họ token</t>
        </is>
      </c>
      <c r="F18" s="62" t="inlineStr">
        <is>
          <t>BE</t>
        </is>
      </c>
      <c r="G18" s="59" t="n"/>
      <c r="H18" s="63" t="n">
        <v>4</v>
      </c>
      <c r="I18" s="62" t="inlineStr">
        <is>
          <t>P0-Bắt buộc</t>
        </is>
      </c>
      <c r="J18" s="59" t="n"/>
      <c r="K18" s="62" t="inlineStr">
        <is>
          <t>Đã xong</t>
        </is>
      </c>
      <c r="L18" s="64" t="n">
        <v>1</v>
      </c>
      <c r="M18" s="63">
        <f>H18*(1-L18)</f>
        <v/>
      </c>
      <c r="N18" s="62" t="n"/>
      <c r="O18" s="59" t="inlineStr">
        <is>
          <t>03/09 XONG: theo OAuth 2.0 BCP §4.13. Mỗi lần đăng nhập = 1 họ token; dùng lại token đã tiêu thì thu hồi cả họ. Token cũ chưa có fam được nâng cấp 1 lần nên deploy không đá hết người dùng. Thêm POST /auth/logout. 9 test QA-AUTH</t>
        </is>
      </c>
    </row>
    <row r="19" ht="32.8" customHeight="1" s="38">
      <c r="A19" s="62" t="inlineStr">
        <is>
          <t>P0-15</t>
        </is>
      </c>
      <c r="B19" s="59" t="inlineStr">
        <is>
          <t>P0 - Dọn nền</t>
        </is>
      </c>
      <c r="C19" s="59" t="inlineStr">
        <is>
          <t>Backend</t>
        </is>
      </c>
      <c r="D19" s="59" t="inlineStr">
        <is>
          <t>Rút access token 60 phút → 15 phút, client tự refresh</t>
        </is>
      </c>
      <c r="E19" s="59" t="inlineStr">
        <is>
          <t>App không bị đăng xuất đột ngột khi token hết hạn</t>
        </is>
      </c>
      <c r="F19" s="62" t="inlineStr">
        <is>
          <t>BE</t>
        </is>
      </c>
      <c r="G19" s="59" t="n"/>
      <c r="H19" s="63" t="n">
        <v>1</v>
      </c>
      <c r="I19" s="62" t="inlineStr">
        <is>
          <t>P0-Bắt buộc</t>
        </is>
      </c>
      <c r="J19" s="59" t="inlineStr">
        <is>
          <t>Xoay vòng refresh token</t>
        </is>
      </c>
      <c r="K19" s="62" t="inlineStr">
        <is>
          <t>Đã xong</t>
        </is>
      </c>
      <c r="L19" s="64" t="n">
        <v>1</v>
      </c>
      <c r="M19" s="63">
        <f>H19*(1-L19)</f>
        <v/>
      </c>
      <c r="N19" s="62" t="n"/>
      <c r="O19" s="59" t="inlineStr">
        <is>
          <t>03/09 XONG phía backend (ACCESS_TOKEN_EXPIRE_MINUTES = 15). LƯU Ý: apps/customer-web hiện gặp 401 là đăng xuất luôn — phải làm auto-refresh cùng lúc chuyển sang @goan/api-client (P4-12)</t>
        </is>
      </c>
    </row>
    <row r="20" ht="32.8" customHeight="1" s="38">
      <c r="A20" s="62" t="inlineStr">
        <is>
          <t>P0-16</t>
        </is>
      </c>
      <c r="B20" s="59" t="inlineStr">
        <is>
          <t>P0 - Dọn nền</t>
        </is>
      </c>
      <c r="C20" s="59" t="inlineStr">
        <is>
          <t>DevOps</t>
        </is>
      </c>
      <c r="D20" s="59" t="inlineStr">
        <is>
          <t>Sentry + OpenTelemetry trace + Prometheus metrics</t>
        </is>
      </c>
      <c r="E20" s="59" t="inlineStr">
        <is>
          <t>Xem được trace 1 request xuyên suốt; alert lỗi về Slack</t>
        </is>
      </c>
      <c r="F20" s="62" t="inlineStr">
        <is>
          <t>TL</t>
        </is>
      </c>
      <c r="G20" s="59" t="n"/>
      <c r="H20" s="63" t="n">
        <v>4</v>
      </c>
      <c r="I20" s="62" t="inlineStr">
        <is>
          <t>P1-Cao</t>
        </is>
      </c>
      <c r="J20" s="59" t="inlineStr">
        <is>
          <t>Dựng staging</t>
        </is>
      </c>
      <c r="K20" s="62" t="inlineStr">
        <is>
          <t>Đã xong</t>
        </is>
      </c>
      <c r="L20" s="64" t="n">
        <v>1</v>
      </c>
      <c r="M20" s="63">
        <f>H20*(1-L20)</f>
        <v/>
      </c>
      <c r="N20" s="62" t="n"/>
      <c r="O20" s="59" t="inlineStr">
        <is>
          <t>03/09 XONG: Prometheus /metrics (nhãn theo template route, khoá bằng METRICS_TOKEN), OTel trace tuỳ chọn, Sentry theo DSN, X-Request-ID xuyên log/audit. Alert Slack nối khi có staging.</t>
        </is>
      </c>
    </row>
    <row r="21" ht="22.35" customHeight="1" s="38">
      <c r="A21" s="62" t="inlineStr">
        <is>
          <t>P0-17</t>
        </is>
      </c>
      <c r="B21" s="59" t="inlineStr">
        <is>
          <t>P0 - Dọn nền</t>
        </is>
      </c>
      <c r="C21" s="59" t="inlineStr">
        <is>
          <t>Backend</t>
        </is>
      </c>
      <c r="D21" s="59" t="inlineStr">
        <is>
          <t>Tách /health (liveness) và /ready (readiness có DB+Redis)</t>
        </is>
      </c>
      <c r="E21" s="59" t="inlineStr">
        <is>
          <t>K8s/LB dùng đúng probe</t>
        </is>
      </c>
      <c r="F21" s="62" t="inlineStr">
        <is>
          <t>BE</t>
        </is>
      </c>
      <c r="G21" s="59" t="n"/>
      <c r="H21" s="63" t="n">
        <v>1</v>
      </c>
      <c r="I21" s="62" t="inlineStr">
        <is>
          <t>P2-Trung bình</t>
        </is>
      </c>
      <c r="J21" s="59" t="n"/>
      <c r="K21" s="62" t="inlineStr">
        <is>
          <t>Đã xong</t>
        </is>
      </c>
      <c r="L21" s="64" t="n">
        <v>1</v>
      </c>
      <c r="M21" s="63">
        <f>H21*(1-L21)</f>
        <v/>
      </c>
      <c r="N21" s="62" t="n"/>
      <c r="O21" s="59" t="inlineStr">
        <is>
          <t>03/09 XONG: /health không chạm DB (tránh restart container vô ích khi DB sự cố); /ready kiểm DB+Redis và trả 503 khi chưa sẵn sàng</t>
        </is>
      </c>
    </row>
    <row r="22" ht="15" customHeight="1" s="38">
      <c r="A22" s="62" t="inlineStr">
        <is>
          <t>P0-18</t>
        </is>
      </c>
      <c r="B22" s="59" t="inlineStr">
        <is>
          <t>P0 - Dọn nền</t>
        </is>
      </c>
      <c r="C22" s="59" t="inlineStr">
        <is>
          <t>DevOps</t>
        </is>
      </c>
      <c r="D22" s="59" t="inlineStr">
        <is>
          <t>Backup PostgreSQL daily + PITR</t>
        </is>
      </c>
      <c r="E22" s="59" t="inlineStr">
        <is>
          <t>Khôi phục thử thành công về 1 thời điểm bất kỳ</t>
        </is>
      </c>
      <c r="F22" s="62" t="inlineStr">
        <is>
          <t>TL</t>
        </is>
      </c>
      <c r="G22" s="59" t="n"/>
      <c r="H22" s="63" t="n">
        <v>3</v>
      </c>
      <c r="I22" s="62" t="inlineStr">
        <is>
          <t>P0-Bắt buộc</t>
        </is>
      </c>
      <c r="J22" s="59" t="inlineStr">
        <is>
          <t>Dựng staging</t>
        </is>
      </c>
      <c r="K22" s="62" t="inlineStr">
        <is>
          <t>Chưa bắt đầu</t>
        </is>
      </c>
      <c r="L22" s="64" t="n">
        <v>0</v>
      </c>
      <c r="M22" s="63">
        <f>H22*(1-L22)</f>
        <v/>
      </c>
      <c r="N22" s="62" t="n"/>
      <c r="O22" s="59" t="inlineStr">
        <is>
          <t>Bắt buộc vì có dữ liệu ký quỹ của tài xế</t>
        </is>
      </c>
    </row>
    <row r="23" ht="32.8" customHeight="1" s="38">
      <c r="A23" s="62" t="inlineStr">
        <is>
          <t>P0-19</t>
        </is>
      </c>
      <c r="B23" s="59" t="inlineStr">
        <is>
          <t>P0 - Dọn nền</t>
        </is>
      </c>
      <c r="C23" s="59" t="inlineStr">
        <is>
          <t>Backend</t>
        </is>
      </c>
      <c r="D23" s="59" t="inlineStr">
        <is>
          <t>Bảng audit_logs + middleware ghi mọi thao tác ghi</t>
        </is>
      </c>
      <c r="E23" s="59" t="inlineStr">
        <is>
          <t>Mọi POST/PATCH/DELETE để lại: ai, IP, payload trước/sau</t>
        </is>
      </c>
      <c r="F23" s="62" t="inlineStr">
        <is>
          <t>BE</t>
        </is>
      </c>
      <c r="G23" s="59" t="n"/>
      <c r="H23" s="63" t="n">
        <v>3</v>
      </c>
      <c r="I23" s="62" t="inlineStr">
        <is>
          <t>P0-Bắt buộc</t>
        </is>
      </c>
      <c r="J23" s="59" t="n"/>
      <c r="K23" s="62" t="inlineStr">
        <is>
          <t>Đã xong</t>
        </is>
      </c>
      <c r="L23" s="64" t="n">
        <v>1</v>
      </c>
      <c r="M23" s="63">
        <f>H23*(1-L23)</f>
        <v/>
      </c>
      <c r="N23" s="62" t="n"/>
      <c r="O23" s="59" t="inlineStr">
        <is>
          <t>03/09 XONG: migration 0002 + domains/audit + middleware. Che đệ quy 17 trường nhạy cảm, suy ra resource_type/resource_id từ đường dẫn. Lỗi ghi audit không làm hỏng request. 19 test QA-AUD</t>
        </is>
      </c>
    </row>
    <row r="24" ht="32.8" customHeight="1" s="38">
      <c r="A24" s="62" t="inlineStr">
        <is>
          <t>P0-20</t>
        </is>
      </c>
      <c r="B24" s="59" t="inlineStr">
        <is>
          <t>P0 - Dọn nền</t>
        </is>
      </c>
      <c r="C24" s="59" t="inlineStr">
        <is>
          <t>QA</t>
        </is>
      </c>
      <c r="D24" s="59" t="inlineStr">
        <is>
          <t>Dựng vai trò QA: quyền hạn, quy trình, Definition of Done</t>
        </is>
      </c>
      <c r="E24" s="59" t="inlineStr">
        <is>
          <t>Có tài liệu đội đọc là làm theo được, không cần hỏi lại</t>
        </is>
      </c>
      <c r="F24" s="62" t="inlineStr">
        <is>
          <t>FE</t>
        </is>
      </c>
      <c r="G24" s="59" t="n"/>
      <c r="H24" s="63" t="n">
        <v>2</v>
      </c>
      <c r="I24" s="62" t="inlineStr">
        <is>
          <t>P0-Bắt buộc</t>
        </is>
      </c>
      <c r="J24" s="59" t="n"/>
      <c r="K24" s="62" t="inlineStr">
        <is>
          <t>Đã xong</t>
        </is>
      </c>
      <c r="L24" s="64" t="n">
        <v>1</v>
      </c>
      <c r="M24" s="63">
        <f>H24*(1-L24)</f>
        <v/>
      </c>
      <c r="N24" s="62" t="n"/>
      <c r="O24" s="59" t="inlineStr">
        <is>
          <t>03/09 XONG: docs/QA/QA_ROLE.md — quyền chặn merge/release, DoD 9 điểm, phân loại lỗi 5 mức kèm ví dụ GoAn, 6 vùng rủi ro xếp theo thiệt hại</t>
        </is>
      </c>
    </row>
    <row r="25" ht="32.8" customHeight="1" s="38">
      <c r="A25" s="62" t="inlineStr">
        <is>
          <t>P0-21</t>
        </is>
      </c>
      <c r="B25" s="59" t="inlineStr">
        <is>
          <t>P0 - Dọn nền</t>
        </is>
      </c>
      <c r="C25" s="59" t="inlineStr">
        <is>
          <t>QA</t>
        </is>
      </c>
      <c r="D25" s="59" t="inlineStr">
        <is>
          <t>Chiến lược kiểm thử + hệ thống marker</t>
        </is>
      </c>
      <c r="E25" s="59" t="inlineStr">
        <is>
          <t>Chạy được từng nhóm test riêng; marker sai thì đỏ</t>
        </is>
      </c>
      <c r="F25" s="62" t="inlineStr">
        <is>
          <t>FE</t>
        </is>
      </c>
      <c r="G25" s="59" t="n"/>
      <c r="H25" s="63" t="n">
        <v>2</v>
      </c>
      <c r="I25" s="62" t="inlineStr">
        <is>
          <t>P0-Bắt buộc</t>
        </is>
      </c>
      <c r="J25" s="59" t="n"/>
      <c r="K25" s="62" t="inlineStr">
        <is>
          <t>Đã xong</t>
        </is>
      </c>
      <c r="L25" s="64" t="n">
        <v>1</v>
      </c>
      <c r="M25" s="63">
        <f>H25*(1-L25)</f>
        <v/>
      </c>
      <c r="N25" s="62" t="n"/>
      <c r="O25" s="59" t="inlineStr">
        <is>
          <t>03/09 XONG: docs/QA/TEST_STRATEGY.md + 6 marker (unit/integration/api/security/money/prd) với --strict-markers. Ghi rõ cả những gì test tự động KHÔNG bắt được</t>
        </is>
      </c>
    </row>
    <row r="26" ht="32.8" customHeight="1" s="38">
      <c r="A26" s="62" t="inlineStr">
        <is>
          <t>P0-22</t>
        </is>
      </c>
      <c r="B26" s="59" t="inlineStr">
        <is>
          <t>P0 - Dọn nền</t>
        </is>
      </c>
      <c r="C26" s="59" t="inlineStr">
        <is>
          <t>QA</t>
        </is>
      </c>
      <c r="D26" s="59" t="inlineStr">
        <is>
          <t>Ma trận truy vết PRD → test case</t>
        </is>
      </c>
      <c r="E26" s="59" t="inlineStr">
        <is>
          <t>Mỗi yêu cầu PRD chỉ ra được test nào chứng minh nó đúng</t>
        </is>
      </c>
      <c r="F26" s="62" t="inlineStr">
        <is>
          <t>FE</t>
        </is>
      </c>
      <c r="G26" s="59" t="n"/>
      <c r="H26" s="63" t="n">
        <v>3</v>
      </c>
      <c r="I26" s="62" t="inlineStr">
        <is>
          <t>P0-Bắt buộc</t>
        </is>
      </c>
      <c r="J26" s="59" t="inlineStr">
        <is>
          <t>Chiến lược kiểm thử</t>
        </is>
      </c>
      <c r="K26" s="62" t="inlineStr">
        <is>
          <t>Đã xong</t>
        </is>
      </c>
      <c r="L26" s="64" t="n">
        <v>1</v>
      </c>
      <c r="M26" s="63">
        <f>H26*(1-L26)</f>
        <v/>
      </c>
      <c r="N26" s="62" t="n"/>
      <c r="O26" s="59" t="inlineStr">
        <is>
          <t>03/09 XONG: docs/QA/TRACEABILITY.md — 58 yêu cầu trích từ 3 tài liệu, 38 đã có test (66%), 2 còn thiếu có kế hoạch cụ thể, 18 thuộc P1/P2/P5</t>
        </is>
      </c>
    </row>
    <row r="27" ht="32.8" customHeight="1" s="38">
      <c r="A27" s="62" t="inlineStr">
        <is>
          <t>P0-23</t>
        </is>
      </c>
      <c r="B27" s="59" t="inlineStr">
        <is>
          <t>P0 - Dọn nền</t>
        </is>
      </c>
      <c r="C27" s="59" t="inlineStr">
        <is>
          <t>QA</t>
        </is>
      </c>
      <c r="D27" s="59" t="inlineStr">
        <is>
          <t>Mẫu báo lỗi + PR template bắt buộc</t>
        </is>
      </c>
      <c r="E27" s="59" t="inlineStr">
        <is>
          <t>Báo lỗi có đủ bước tái hiện và request_id; MR phải trả lời 'test này đỏ khi nào'</t>
        </is>
      </c>
      <c r="F27" s="62" t="inlineStr">
        <is>
          <t>FE</t>
        </is>
      </c>
      <c r="G27" s="59" t="n"/>
      <c r="H27" s="63" t="n">
        <v>1</v>
      </c>
      <c r="I27" s="62" t="inlineStr">
        <is>
          <t>P1-Cao</t>
        </is>
      </c>
      <c r="J27" s="59" t="n"/>
      <c r="K27" s="62" t="inlineStr">
        <is>
          <t>Đã xong</t>
        </is>
      </c>
      <c r="L27" s="64" t="n">
        <v>1</v>
      </c>
      <c r="M27" s="63">
        <f>H27*(1-L27)</f>
        <v/>
      </c>
      <c r="N27" s="62" t="n"/>
      <c r="O27" s="59" t="inlineStr">
        <is>
          <t>03/09 XONG: docs/QA/BUG_TEMPLATE.md + .github/pull_request_template.md. Sau mỗi sự cố bắt buộc viết test tái hiện TRƯỚC khi sửa</t>
        </is>
      </c>
    </row>
    <row r="28" ht="43.25" customHeight="1" s="38">
      <c r="A28" s="62" t="inlineStr">
        <is>
          <t>P0-24</t>
        </is>
      </c>
      <c r="B28" s="59" t="inlineStr">
        <is>
          <t>P0 - Dọn nền</t>
        </is>
      </c>
      <c r="C28" s="59" t="inlineStr">
        <is>
          <t>QA</t>
        </is>
      </c>
      <c r="D28" s="59" t="inlineStr">
        <is>
          <t>Hạ tầng test: Redis giả, client API qua middleware thật, ngưỡng độ phủ</t>
        </is>
      </c>
      <c r="E28" s="59" t="inlineStr">
        <is>
          <t>Test được cả tầng middleware và các nhánh fail-open</t>
        </is>
      </c>
      <c r="F28" s="62" t="inlineStr">
        <is>
          <t>FE</t>
        </is>
      </c>
      <c r="G28" s="59" t="n"/>
      <c r="H28" s="63" t="n">
        <v>3</v>
      </c>
      <c r="I28" s="62" t="inlineStr">
        <is>
          <t>P0-Bắt buộc</t>
        </is>
      </c>
      <c r="J28" s="59" t="n"/>
      <c r="K28" s="62" t="inlineStr">
        <is>
          <t>Đã xong</t>
        </is>
      </c>
      <c r="L28" s="64" t="n">
        <v>1</v>
      </c>
      <c r="M28" s="63">
        <f>H28*(1-L28)</f>
        <v/>
      </c>
      <c r="N28" s="62" t="n"/>
      <c r="O28" s="59" t="inlineStr">
        <is>
          <t>03/09 XONG: tests/fakes.py (Redis giả có GEO + sorted set + cờ mô phỏng Redis chết), fixture api_client chạy qua đúng chuỗi middleware thật, CI có ngưỡng độ phủ 75% và job riêng cho nhóm money/security</t>
        </is>
      </c>
    </row>
    <row r="29" ht="43.25" customHeight="1" s="38">
      <c r="A29" s="62" t="inlineStr">
        <is>
          <t>P0-25</t>
        </is>
      </c>
      <c r="B29" s="59" t="inlineStr">
        <is>
          <t>P0 - Dọn nền</t>
        </is>
      </c>
      <c r="C29" s="59" t="inlineStr">
        <is>
          <t>QA</t>
        </is>
      </c>
      <c r="D29" s="59" t="inlineStr">
        <is>
          <t>Trả nợ kiểm thử: matching và mã hoá CCCD</t>
        </is>
      </c>
      <c r="E29" s="59" t="inlineStr">
        <is>
          <t>4 yêu cầu PRD có code nhưng chưa ai chứng minh đúng</t>
        </is>
      </c>
      <c r="F29" s="62" t="inlineStr">
        <is>
          <t>FE</t>
        </is>
      </c>
      <c r="G29" s="59" t="n"/>
      <c r="H29" s="63" t="n">
        <v>2</v>
      </c>
      <c r="I29" s="62" t="inlineStr">
        <is>
          <t>P1-Cao</t>
        </is>
      </c>
      <c r="J29" s="59" t="inlineStr">
        <is>
          <t>Hạ tầng test</t>
        </is>
      </c>
      <c r="K29" s="62" t="inlineStr">
        <is>
          <t>Đã xong</t>
        </is>
      </c>
      <c r="L29" s="64" t="n">
        <v>1</v>
      </c>
      <c r="M29" s="63">
        <f>H29*(1-L29)</f>
        <v/>
      </c>
      <c r="N29" s="62" t="n"/>
      <c r="O29" s="59" t="inlineStr">
        <is>
          <t>03/09 XONG: PRD-MATCH-01/02/03 (bán kính có nới thật, 2 tài xế cùng nhận chỉ 1 người thắng, chuyến quá hạn thoát trạng thái chờ) + PRD-SEC-05 (mã hoá CCCD). Tổng 51 → 129 test, độ phủ 78% → 81%</t>
        </is>
      </c>
    </row>
    <row r="30" ht="22.35" customHeight="1" s="38">
      <c r="A30" s="62" t="inlineStr">
        <is>
          <t>P0-26</t>
        </is>
      </c>
      <c r="B30" s="59" t="inlineStr">
        <is>
          <t>P0 - Dọn nền</t>
        </is>
      </c>
      <c r="C30" s="59" t="inlineStr">
        <is>
          <t>Backend</t>
        </is>
      </c>
      <c r="D30" s="59" t="inlineStr">
        <is>
          <t>[ĐÃ CÓ] Migration khởi tạo 18 bảng lõi</t>
        </is>
      </c>
      <c r="E30" s="59" t="inlineStr">
        <is>
          <t>alembic upgrade head chạy sạch</t>
        </is>
      </c>
      <c r="F30" s="62" t="inlineStr">
        <is>
          <t>BE</t>
        </is>
      </c>
      <c r="G30" s="59" t="n"/>
      <c r="H30" s="63" t="n">
        <v>0</v>
      </c>
      <c r="I30" s="62" t="inlineStr">
        <is>
          <t>P0-Bắt buộc</t>
        </is>
      </c>
      <c r="J30" s="59" t="n"/>
      <c r="K30" s="62" t="inlineStr">
        <is>
          <t>Đã xong</t>
        </is>
      </c>
      <c r="L30" s="64" t="n">
        <v>1</v>
      </c>
      <c r="M30" s="63">
        <f>H30*(1-L30)</f>
        <v/>
      </c>
      <c r="N30" s="62" t="n"/>
      <c r="O30" s="59" t="inlineStr">
        <is>
          <t>Đã kiểm chứng: alembic/versions/0001_initial_schema.py, 18 create_table</t>
        </is>
      </c>
    </row>
    <row r="31" ht="22.35" customHeight="1" s="38">
      <c r="A31" s="62" t="inlineStr">
        <is>
          <t>P0-27</t>
        </is>
      </c>
      <c r="B31" s="59" t="inlineStr">
        <is>
          <t>P0 - Dọn nền</t>
        </is>
      </c>
      <c r="C31" s="59" t="inlineStr">
        <is>
          <t>Backend</t>
        </is>
      </c>
      <c r="D31" s="59" t="inlineStr">
        <is>
          <t>[ĐÃ CÓ] Bộ test tự động 51 test (pricing, escrow, fraud, payments, state machine, luồng chuyến)</t>
        </is>
      </c>
      <c r="E31" s="59" t="inlineStr">
        <is>
          <t>pytest -q xanh, không cần Postgres/Redis</t>
        </is>
      </c>
      <c r="F31" s="62" t="inlineStr">
        <is>
          <t>BE</t>
        </is>
      </c>
      <c r="G31" s="59" t="n"/>
      <c r="H31" s="63" t="n">
        <v>0</v>
      </c>
      <c r="I31" s="62" t="inlineStr">
        <is>
          <t>P0-Bắt buộc</t>
        </is>
      </c>
      <c r="J31" s="59" t="n"/>
      <c r="K31" s="62" t="inlineStr">
        <is>
          <t>Đã xong</t>
        </is>
      </c>
      <c r="L31" s="64" t="n">
        <v>1</v>
      </c>
      <c r="M31" s="63">
        <f>H31*(1-L31)</f>
        <v/>
      </c>
      <c r="N31" s="62" t="n"/>
      <c r="O31" s="59" t="inlineStr">
        <is>
          <t>Đã kiểm chứng: chạy thật, 51 passed in 2.52s</t>
        </is>
      </c>
    </row>
    <row r="32" ht="15" customHeight="1" s="38">
      <c r="A32" s="62" t="inlineStr">
        <is>
          <t>P0-28</t>
        </is>
      </c>
      <c r="B32" s="59" t="inlineStr">
        <is>
          <t>P0 - Dọn nền</t>
        </is>
      </c>
      <c r="C32" s="59" t="inlineStr">
        <is>
          <t>Backend</t>
        </is>
      </c>
      <c r="D32" s="59" t="inlineStr">
        <is>
          <t>[ĐÃ CÓ] JSON structured logging + log_event</t>
        </is>
      </c>
      <c r="E32" s="59" t="inlineStr">
        <is>
          <t>Log ra JSON, có event name</t>
        </is>
      </c>
      <c r="F32" s="62" t="inlineStr">
        <is>
          <t>BE</t>
        </is>
      </c>
      <c r="G32" s="59" t="n"/>
      <c r="H32" s="63" t="n">
        <v>0</v>
      </c>
      <c r="I32" s="62" t="inlineStr">
        <is>
          <t>P1-Cao</t>
        </is>
      </c>
      <c r="J32" s="59" t="n"/>
      <c r="K32" s="62" t="inlineStr">
        <is>
          <t>Đã xong</t>
        </is>
      </c>
      <c r="L32" s="64" t="n">
        <v>1</v>
      </c>
      <c r="M32" s="63">
        <f>H32*(1-L32)</f>
        <v/>
      </c>
      <c r="N32" s="62" t="n"/>
      <c r="O32" s="59" t="inlineStr">
        <is>
          <t>core/logging.py</t>
        </is>
      </c>
    </row>
    <row r="33" ht="22.35" customHeight="1" s="38">
      <c r="A33" s="62" t="inlineStr">
        <is>
          <t>P1-01</t>
        </is>
      </c>
      <c r="B33" s="59" t="inlineStr">
        <is>
          <t>P1 - IAM &amp; Console khung</t>
        </is>
      </c>
      <c r="C33" s="59" t="inlineStr">
        <is>
          <t>Backend</t>
        </is>
      </c>
      <c r="D33" s="59" t="inlineStr">
        <is>
          <t>domains/iam: staff_users, roles, permissions, role_permissions</t>
        </is>
      </c>
      <c r="E33" s="59" t="inlineStr">
        <is>
          <t>Migration + seed 12 vai trò theo tài liệu phân định</t>
        </is>
      </c>
      <c r="F33" s="62" t="inlineStr">
        <is>
          <t>BE</t>
        </is>
      </c>
      <c r="G33" s="59" t="n"/>
      <c r="H33" s="63" t="n">
        <v>3</v>
      </c>
      <c r="I33" s="62" t="inlineStr">
        <is>
          <t>P0-Bắt buộc</t>
        </is>
      </c>
      <c r="J33" s="59" t="inlineStr">
        <is>
          <t>P0 xong</t>
        </is>
      </c>
      <c r="K33" s="62" t="inlineStr">
        <is>
          <t>Đã xong</t>
        </is>
      </c>
      <c r="L33" s="64" t="n">
        <v>1</v>
      </c>
      <c r="M33" s="63">
        <f>H33*(1-L33)</f>
        <v/>
      </c>
      <c r="N33" s="62" t="n"/>
      <c r="O33" s="59" t="inlineStr">
        <is>
          <t>03/09 XONG: domains/iam + migration 0004 (staff_users, roles, permissions, role_permissions, staff_roles). Seed 12 vai trò đúng ma trận phân định §2.3, chạy lại không nhân đôi.</t>
        </is>
      </c>
    </row>
    <row r="34" ht="15" customHeight="1" s="38">
      <c r="A34" s="62" t="inlineStr">
        <is>
          <t>P1-02</t>
        </is>
      </c>
      <c r="B34" s="59" t="inlineStr">
        <is>
          <t>P1 - IAM &amp; Console khung</t>
        </is>
      </c>
      <c r="C34" s="59" t="inlineStr">
        <is>
          <t>Backend</t>
        </is>
      </c>
      <c r="D34" s="59" t="inlineStr">
        <is>
          <t>Đăng nhập nội bộ: email + mật khẩu + TOTP 2FA</t>
        </is>
      </c>
      <c r="E34" s="59" t="inlineStr">
        <is>
          <t>Bắt buộc 2FA, phiên 8 giờ, khoá sau 5 lần sai</t>
        </is>
      </c>
      <c r="F34" s="62" t="inlineStr">
        <is>
          <t>BE</t>
        </is>
      </c>
      <c r="G34" s="59" t="n"/>
      <c r="H34" s="63" t="n">
        <v>4</v>
      </c>
      <c r="I34" s="62" t="inlineStr">
        <is>
          <t>P0-Bắt buộc</t>
        </is>
      </c>
      <c r="J34" s="59" t="inlineStr">
        <is>
          <t>domains/iam</t>
        </is>
      </c>
      <c r="K34" s="62" t="inlineStr">
        <is>
          <t>Đã xong</t>
        </is>
      </c>
      <c r="L34" s="64" t="n">
        <v>1</v>
      </c>
      <c r="M34" s="63">
        <f>H34*(1-L34)</f>
        <v/>
      </c>
      <c r="N34" s="62" t="n"/>
      <c r="O34" s="59" t="inlineStr">
        <is>
          <t>03/09 XONG: email + mật khẩu + TOTP bắt buộc, phiên 8 giờ, khoá sau 5 lần sai (15 phút), admin gỡ khoá sớm được. Xoay vòng refresh token. Ghim bcrypt==4.2.1 vì passlib vỡ với bcrypt 5.</t>
        </is>
      </c>
    </row>
    <row r="35" ht="15" customHeight="1" s="38">
      <c r="A35" s="62" t="inlineStr">
        <is>
          <t>P1-03</t>
        </is>
      </c>
      <c r="B35" s="59" t="inlineStr">
        <is>
          <t>P1 - IAM &amp; Console khung</t>
        </is>
      </c>
      <c r="C35" s="59" t="inlineStr">
        <is>
          <t>Backend</t>
        </is>
      </c>
      <c r="D35" s="59" t="inlineStr">
        <is>
          <t>Middleware kiểm permission dạng domain:action:scope</t>
        </is>
      </c>
      <c r="E35" s="59" t="inlineStr">
        <is>
          <t>Thiếu quyền trả 403 kèm mã quyền còn thiếu</t>
        </is>
      </c>
      <c r="F35" s="62" t="inlineStr">
        <is>
          <t>BE</t>
        </is>
      </c>
      <c r="G35" s="59" t="n"/>
      <c r="H35" s="63" t="n">
        <v>2</v>
      </c>
      <c r="I35" s="62" t="inlineStr">
        <is>
          <t>P0-Bắt buộc</t>
        </is>
      </c>
      <c r="J35" s="59" t="inlineStr">
        <is>
          <t>domains/iam</t>
        </is>
      </c>
      <c r="K35" s="62" t="inlineStr">
        <is>
          <t>Đã xong</t>
        </is>
      </c>
      <c r="L35" s="64" t="n">
        <v>1</v>
      </c>
      <c r="M35" s="63">
        <f>H35*(1-L35)</f>
        <v/>
      </c>
      <c r="N35" s="62" t="n"/>
      <c r="O35" s="59" t="inlineStr">
        <is>
          <t>03/09 XONG: require_permission('domain:action:scope') trả 403 kèm đúng mã quyền còn thiếu.</t>
        </is>
      </c>
    </row>
    <row r="36" ht="15" customHeight="1" s="38">
      <c r="A36" s="62" t="inlineStr">
        <is>
          <t>P1-04</t>
        </is>
      </c>
      <c r="B36" s="59" t="inlineStr">
        <is>
          <t>P1 - IAM &amp; Console khung</t>
        </is>
      </c>
      <c r="C36" s="59" t="inlineStr">
        <is>
          <t>Backend</t>
        </is>
      </c>
      <c r="D36" s="59" t="inlineStr">
        <is>
          <t>API /ops/staff: CRUD nhân sự, gán vai trò, vô hiệu hoá</t>
        </is>
      </c>
      <c r="E36" s="59" t="inlineStr">
        <is>
          <t>Vô hiệu hoá không xoá (giữ audit trail)</t>
        </is>
      </c>
      <c r="F36" s="62" t="inlineStr">
        <is>
          <t>BE</t>
        </is>
      </c>
      <c r="G36" s="59" t="n"/>
      <c r="H36" s="63" t="n">
        <v>3</v>
      </c>
      <c r="I36" s="62" t="inlineStr">
        <is>
          <t>P0-Bắt buộc</t>
        </is>
      </c>
      <c r="J36" s="59" t="inlineStr">
        <is>
          <t>Middleware permission</t>
        </is>
      </c>
      <c r="K36" s="62" t="inlineStr">
        <is>
          <t>Đã xong</t>
        </is>
      </c>
      <c r="L36" s="64" t="n">
        <v>1</v>
      </c>
      <c r="M36" s="63">
        <f>H36*(1-L36)</f>
        <v/>
      </c>
      <c r="N36" s="62" t="n"/>
      <c r="O36" s="59" t="inlineStr">
        <is>
          <t>03/09 XONG: /ops/staff CRUD + gán vai trò + vô hiệu hoá (không xoá) + gỡ khoá. Bí mật TOTP chỉ trả về một lần lúc tạo.</t>
        </is>
      </c>
    </row>
    <row r="37" ht="15" customHeight="1" s="38">
      <c r="A37" s="62" t="inlineStr">
        <is>
          <t>P1-05</t>
        </is>
      </c>
      <c r="B37" s="59" t="inlineStr">
        <is>
          <t>P1 - IAM &amp; Console khung</t>
        </is>
      </c>
      <c r="C37" s="59" t="inlineStr">
        <is>
          <t>Backend</t>
        </is>
      </c>
      <c r="D37" s="59" t="inlineStr">
        <is>
          <t>API đọc audit log có lọc/tra cứu</t>
        </is>
      </c>
      <c r="E37" s="59" t="inlineStr">
        <is>
          <t>Lọc theo người, thời gian, đối tượng</t>
        </is>
      </c>
      <c r="F37" s="62" t="inlineStr">
        <is>
          <t>BE</t>
        </is>
      </c>
      <c r="G37" s="59" t="n"/>
      <c r="H37" s="63" t="n">
        <v>2</v>
      </c>
      <c r="I37" s="62" t="inlineStr">
        <is>
          <t>P1-Cao</t>
        </is>
      </c>
      <c r="J37" s="59" t="inlineStr">
        <is>
          <t>Bảng audit_logs</t>
        </is>
      </c>
      <c r="K37" s="62" t="inlineStr">
        <is>
          <t>Đã xong</t>
        </is>
      </c>
      <c r="L37" s="64" t="n">
        <v>1</v>
      </c>
      <c r="M37" s="63">
        <f>H37*(1-L37)</f>
        <v/>
      </c>
      <c r="N37" s="62" t="n"/>
      <c r="O37" s="59" t="inlineStr">
        <is>
          <t>03/09 XONG: GET /ops/audit-logs lọc theo người/nhân sự/đối tượng/thời gian, phân trang con trỏ.</t>
        </is>
      </c>
    </row>
    <row r="38" ht="22.35" customHeight="1" s="38">
      <c r="A38" s="62" t="inlineStr">
        <is>
          <t>P1-06</t>
        </is>
      </c>
      <c r="B38" s="59" t="inlineStr">
        <is>
          <t>P1 - IAM &amp; Console khung</t>
        </is>
      </c>
      <c r="C38" s="59" t="inlineStr">
        <is>
          <t>Backend</t>
        </is>
      </c>
      <c r="D38" s="59" t="inlineStr">
        <is>
          <t>Che PII mặc định + endpoint xem đầy đủ bắt buộc nhập lý do</t>
        </is>
      </c>
      <c r="E38" s="59" t="inlineStr">
        <is>
          <t>Mỗi lần xem CCCD/SĐT đầy đủ đều ghi log kèm lý do</t>
        </is>
      </c>
      <c r="F38" s="62" t="inlineStr">
        <is>
          <t>BE</t>
        </is>
      </c>
      <c r="G38" s="59" t="n"/>
      <c r="H38" s="63" t="n">
        <v>3</v>
      </c>
      <c r="I38" s="62" t="inlineStr">
        <is>
          <t>P0-Bắt buộc</t>
        </is>
      </c>
      <c r="J38" s="59" t="inlineStr">
        <is>
          <t>Middleware permission</t>
        </is>
      </c>
      <c r="K38" s="62" t="inlineStr">
        <is>
          <t>Đã xong</t>
        </is>
      </c>
      <c r="L38" s="64" t="n">
        <v>1</v>
      </c>
      <c r="M38" s="63">
        <f>H38*(1-L38)</f>
        <v/>
      </c>
      <c r="N38" s="62" t="n"/>
      <c r="O38" s="59" t="inlineStr">
        <is>
          <t>03/09 XONG: core/pii che SĐT/CCCD/email/tên; GET /ops/users/{id} trả bản đã che; POST /ops/users/{id}/reveal-pii cần quyền pii:full:read + lý do ≥10 ký tự, ghi vào audit_logs.reason.</t>
        </is>
      </c>
    </row>
    <row r="39" ht="22.35" customHeight="1" s="38">
      <c r="A39" s="62" t="inlineStr">
        <is>
          <t>P1-07</t>
        </is>
      </c>
      <c r="B39" s="59" t="inlineStr">
        <is>
          <t>P1 - IAM &amp; Console khung</t>
        </is>
      </c>
      <c r="C39" s="59" t="inlineStr">
        <is>
          <t>Backend</t>
        </is>
      </c>
      <c r="D39" s="59" t="inlineStr">
        <is>
          <t>Khung maker-checker (approval_requests) cho thao tác chạm tiền</t>
        </is>
      </c>
      <c r="E39" s="59" t="inlineStr">
        <is>
          <t>Người tạo ≠ người duyệt; quá hạn tự huỷ</t>
        </is>
      </c>
      <c r="F39" s="62" t="inlineStr">
        <is>
          <t>BE</t>
        </is>
      </c>
      <c r="G39" s="59" t="n"/>
      <c r="H39" s="63" t="n">
        <v>5</v>
      </c>
      <c r="I39" s="62" t="inlineStr">
        <is>
          <t>P0-Bắt buộc</t>
        </is>
      </c>
      <c r="J39" s="59" t="inlineStr">
        <is>
          <t>Middleware permission</t>
        </is>
      </c>
      <c r="K39" s="62" t="inlineStr">
        <is>
          <t>Đã xong</t>
        </is>
      </c>
      <c r="L39" s="64" t="n">
        <v>1</v>
      </c>
      <c r="M39" s="63">
        <f>H39*(1-L39)</f>
        <v/>
      </c>
      <c r="N39" s="62" t="n"/>
      <c r="O39" s="59" t="inlineStr">
        <is>
          <t>03/09 XONG: approval_requests + migration 0005, 5 loại đề nghị. Người tạo không tự duyệt (kể cả super_admin), quá hạn 72h tự đóng bằng job Celery mỗi 30 phút.</t>
        </is>
      </c>
    </row>
    <row r="40" ht="15" customHeight="1" s="38">
      <c r="A40" s="62" t="inlineStr">
        <is>
          <t>P1-08</t>
        </is>
      </c>
      <c r="B40" s="59" t="inlineStr">
        <is>
          <t>P1 - IAM &amp; Console khung</t>
        </is>
      </c>
      <c r="C40" s="59" t="inlineStr">
        <is>
          <t>Backend</t>
        </is>
      </c>
      <c r="D40" s="59" t="inlineStr">
        <is>
          <t>Tách router theo audience: rider/driver/ops/partner/public</t>
        </is>
      </c>
      <c r="E40" s="59" t="inlineStr">
        <is>
          <t>Router cũ vẫn chạy (deprecated), router mới đủ 5 nhóm</t>
        </is>
      </c>
      <c r="F40" s="62" t="inlineStr">
        <is>
          <t>BE</t>
        </is>
      </c>
      <c r="G40" s="59" t="n"/>
      <c r="H40" s="63" t="n">
        <v>4</v>
      </c>
      <c r="I40" s="62" t="inlineStr">
        <is>
          <t>P0-Bắt buộc</t>
        </is>
      </c>
      <c r="J40" s="59" t="inlineStr">
        <is>
          <t>P0 xong</t>
        </is>
      </c>
      <c r="K40" s="62" t="inlineStr">
        <is>
          <t>Đang làm</t>
        </is>
      </c>
      <c r="L40" s="64" t="n">
        <v>0.4</v>
      </c>
      <c r="M40" s="63">
        <f>H40*(1-L40)</f>
        <v/>
      </c>
      <c r="N40" s="62" t="n"/>
      <c r="O40" s="59" t="inlineStr">
        <is>
          <t>03/09: bề mặt /ops đã tách thật (iam, users, approvals, fleet/drivers/trips). Còn: /rider, /driver, /partner, /public vẫn dùng đường dẫn cũ.</t>
        </is>
      </c>
    </row>
    <row r="41" ht="15" customHeight="1" s="38">
      <c r="A41" s="62" t="inlineStr">
        <is>
          <t>P1-09</t>
        </is>
      </c>
      <c r="B41" s="59" t="inlineStr">
        <is>
          <t>P1 - IAM &amp; Console khung</t>
        </is>
      </c>
      <c r="C41" s="59" t="inlineStr">
        <is>
          <t>Backend</t>
        </is>
      </c>
      <c r="D41" s="59" t="inlineStr">
        <is>
          <t>API /ops/fleet + WS ops.fleet_update (gom 3s/lần)</t>
        </is>
      </c>
      <c r="E41" s="59" t="inlineStr">
        <is>
          <t>Console thấy toàn bộ tài xế online và chuyến đang chạy</t>
        </is>
      </c>
      <c r="F41" s="62" t="inlineStr">
        <is>
          <t>BE</t>
        </is>
      </c>
      <c r="G41" s="59" t="n"/>
      <c r="H41" s="63" t="n">
        <v>4</v>
      </c>
      <c r="I41" s="62" t="inlineStr">
        <is>
          <t>P0-Bắt buộc</t>
        </is>
      </c>
      <c r="J41" s="59" t="inlineStr">
        <is>
          <t>Tách router</t>
        </is>
      </c>
      <c r="K41" s="62" t="inlineStr">
        <is>
          <t>Đang làm</t>
        </is>
      </c>
      <c r="L41" s="64" t="n">
        <v>0.7</v>
      </c>
      <c r="M41" s="63">
        <f>H41*(1-L41)</f>
        <v/>
      </c>
      <c r="N41" s="62" t="n"/>
      <c r="O41" s="59" t="inlineStr">
        <is>
          <t>03/09: GET /ops/fleet trả ảnh chụp toàn đội (online, đang chạy chuyến), không kèm PII. Còn: WS ops.fleet_update gom 3s/lần — chờ WS gateway đa topic ở P2.</t>
        </is>
      </c>
    </row>
    <row r="42" ht="15" customHeight="1" s="38">
      <c r="A42" s="62" t="inlineStr">
        <is>
          <t>P1-10</t>
        </is>
      </c>
      <c r="B42" s="59" t="inlineStr">
        <is>
          <t>P1 - IAM &amp; Console khung</t>
        </is>
      </c>
      <c r="C42" s="59" t="inlineStr">
        <is>
          <t>Backend</t>
        </is>
      </c>
      <c r="D42" s="59" t="inlineStr">
        <is>
          <t>API /ops/drivers: duyệt hồ sơ, eKYC, khoá/mở, cảnh cáo</t>
        </is>
      </c>
      <c r="E42" s="59" t="inlineStr">
        <is>
          <t>Duyệt/từ chối có lý do, tài xế nhận thông báo</t>
        </is>
      </c>
      <c r="F42" s="62" t="inlineStr">
        <is>
          <t>BE</t>
        </is>
      </c>
      <c r="G42" s="59" t="n"/>
      <c r="H42" s="63" t="n">
        <v>3</v>
      </c>
      <c r="I42" s="62" t="inlineStr">
        <is>
          <t>P0-Bắt buộc</t>
        </is>
      </c>
      <c r="J42" s="59" t="inlineStr">
        <is>
          <t>Tách router</t>
        </is>
      </c>
      <c r="K42" s="62" t="inlineStr">
        <is>
          <t>Đã xong</t>
        </is>
      </c>
      <c r="L42" s="64" t="n">
        <v>1</v>
      </c>
      <c r="M42" s="63">
        <f>H42*(1-L42)</f>
        <v/>
      </c>
      <c r="N42" s="62" t="n"/>
      <c r="O42" s="59" t="inlineStr">
        <is>
          <t>03/09 XONG: /ops/drivers lọc theo trạng thái duyệt, duyệt/từ chối có lý do + thông báo cho tài xế, khoá/mở tài khoản (khoá là xoá luôn QR đang sống). Migration 0006.</t>
        </is>
      </c>
    </row>
    <row r="43" ht="15" customHeight="1" s="38">
      <c r="A43" s="62" t="inlineStr">
        <is>
          <t>P1-11</t>
        </is>
      </c>
      <c r="B43" s="59" t="inlineStr">
        <is>
          <t>P1 - IAM &amp; Console khung</t>
        </is>
      </c>
      <c r="C43" s="59" t="inlineStr">
        <is>
          <t>Backend</t>
        </is>
      </c>
      <c r="D43" s="59" t="inlineStr">
        <is>
          <t>API /ops/trips: danh sách, lọc, chi tiết, lịch sử GPS</t>
        </is>
      </c>
      <c r="E43" s="59" t="inlineStr">
        <is>
          <t>Lọc theo trạng thái/khu vực/thời gian, phân trang con trỏ</t>
        </is>
      </c>
      <c r="F43" s="62" t="inlineStr">
        <is>
          <t>BE</t>
        </is>
      </c>
      <c r="G43" s="59" t="n"/>
      <c r="H43" s="63" t="n">
        <v>3</v>
      </c>
      <c r="I43" s="62" t="inlineStr">
        <is>
          <t>P0-Bắt buộc</t>
        </is>
      </c>
      <c r="J43" s="59" t="inlineStr">
        <is>
          <t>Tách router</t>
        </is>
      </c>
      <c r="K43" s="62" t="inlineStr">
        <is>
          <t>Đã xong</t>
        </is>
      </c>
      <c r="L43" s="64" t="n">
        <v>1</v>
      </c>
      <c r="M43" s="63">
        <f>H43*(1-L43)</f>
        <v/>
      </c>
      <c r="N43" s="62" t="n"/>
      <c r="O43" s="59" t="inlineStr">
        <is>
          <t>03/09 XONG: GET /ops/trips lọc theo trạng thái/tài xế/khách/thời gian + phân trang con trỏ, chi tiết chuyến, tua lại lộ trình GPS, số liệu đầu trang.</t>
        </is>
      </c>
    </row>
    <row r="44" ht="15" customHeight="1" s="38">
      <c r="A44" s="62" t="inlineStr">
        <is>
          <t>P1-12</t>
        </is>
      </c>
      <c r="B44" s="59" t="inlineStr">
        <is>
          <t>P1 - IAM &amp; Console khung</t>
        </is>
      </c>
      <c r="C44" s="59" t="inlineStr">
        <is>
          <t>Frontend</t>
        </is>
      </c>
      <c r="D44" s="59" t="inlineStr">
        <is>
          <t>Console: scaffold Vite + TS + router + tầng auth + layout</t>
        </is>
      </c>
      <c r="E44" s="59" t="inlineStr">
        <is>
          <t>Đăng nhập, điều hướng, xử lý 401/403 hoàn chỉnh</t>
        </is>
      </c>
      <c r="F44" s="62" t="inlineStr">
        <is>
          <t>FE</t>
        </is>
      </c>
      <c r="G44" s="59" t="n"/>
      <c r="H44" s="63" t="n">
        <v>4</v>
      </c>
      <c r="I44" s="62" t="inlineStr">
        <is>
          <t>P0-Bắt buộc</t>
        </is>
      </c>
      <c r="J44" s="59" t="inlineStr">
        <is>
          <t>P0 xong</t>
        </is>
      </c>
      <c r="K44" s="62" t="inlineStr">
        <is>
          <t>Chưa bắt đầu</t>
        </is>
      </c>
      <c r="L44" s="64" t="n">
        <v>0</v>
      </c>
      <c r="M44" s="63">
        <f>H44*(1-L44)</f>
        <v/>
      </c>
      <c r="N44" s="62" t="n"/>
      <c r="O44" s="59" t="n"/>
    </row>
    <row r="45" ht="15" customHeight="1" s="38">
      <c r="A45" s="62" t="inlineStr">
        <is>
          <t>P1-13</t>
        </is>
      </c>
      <c r="B45" s="59" t="inlineStr">
        <is>
          <t>P1 - IAM &amp; Console khung</t>
        </is>
      </c>
      <c r="C45" s="59" t="inlineStr">
        <is>
          <t>Frontend</t>
        </is>
      </c>
      <c r="D45" s="59" t="inlineStr">
        <is>
          <t>Console: màn hình đăng nhập + 2FA</t>
        </is>
      </c>
      <c r="E45" s="59" t="inlineStr">
        <is>
          <t>Nhập TOTP, ghi nhớ thiết bị 30 ngày</t>
        </is>
      </c>
      <c r="F45" s="62" t="inlineStr">
        <is>
          <t>FE</t>
        </is>
      </c>
      <c r="G45" s="59" t="n"/>
      <c r="H45" s="63" t="n">
        <v>2</v>
      </c>
      <c r="I45" s="62" t="inlineStr">
        <is>
          <t>P0-Bắt buộc</t>
        </is>
      </c>
      <c r="J45" s="59" t="inlineStr">
        <is>
          <t>Console scaffold</t>
        </is>
      </c>
      <c r="K45" s="62" t="inlineStr">
        <is>
          <t>Chưa bắt đầu</t>
        </is>
      </c>
      <c r="L45" s="64" t="n">
        <v>0</v>
      </c>
      <c r="M45" s="63">
        <f>H45*(1-L45)</f>
        <v/>
      </c>
      <c r="N45" s="62" t="n"/>
      <c r="O45" s="59" t="n"/>
    </row>
    <row r="46" ht="22.35" customHeight="1" s="38">
      <c r="A46" s="62" t="inlineStr">
        <is>
          <t>P1-14</t>
        </is>
      </c>
      <c r="B46" s="59" t="inlineStr">
        <is>
          <t>P1 - IAM &amp; Console khung</t>
        </is>
      </c>
      <c r="C46" s="59" t="inlineStr">
        <is>
          <t>Frontend</t>
        </is>
      </c>
      <c r="D46" s="59" t="inlineStr">
        <is>
          <t>packages/ui: design system web (bảng, form, modal, badge, toast)</t>
        </is>
      </c>
      <c r="E46" s="59" t="inlineStr">
        <is>
          <t>Storybook chạy, dùng lại được ở Partner Portal</t>
        </is>
      </c>
      <c r="F46" s="62" t="inlineStr">
        <is>
          <t>FE</t>
        </is>
      </c>
      <c r="G46" s="59" t="n"/>
      <c r="H46" s="63" t="n">
        <v>4</v>
      </c>
      <c r="I46" s="62" t="inlineStr">
        <is>
          <t>P1-Cao</t>
        </is>
      </c>
      <c r="J46" s="59" t="inlineStr">
        <is>
          <t>Console scaffold</t>
        </is>
      </c>
      <c r="K46" s="62" t="inlineStr">
        <is>
          <t>Chưa bắt đầu</t>
        </is>
      </c>
      <c r="L46" s="64" t="n">
        <v>0</v>
      </c>
      <c r="M46" s="63">
        <f>H46*(1-L46)</f>
        <v/>
      </c>
      <c r="N46" s="62" t="n"/>
      <c r="O46" s="59" t="n"/>
    </row>
    <row r="47" ht="22.35" customHeight="1" s="38">
      <c r="A47" s="62" t="inlineStr">
        <is>
          <t>P1-15</t>
        </is>
      </c>
      <c r="B47" s="59" t="inlineStr">
        <is>
          <t>P1 - IAM &amp; Console khung</t>
        </is>
      </c>
      <c r="C47" s="59" t="inlineStr">
        <is>
          <t>Frontend</t>
        </is>
      </c>
      <c r="D47" s="59" t="inlineStr">
        <is>
          <t>Console: module IAM (nhân sự, vai trò, ma trận quyền, audit log)</t>
        </is>
      </c>
      <c r="E47" s="59" t="inlineStr">
        <is>
          <t>Sửa quyền của vai trò không cần deploy</t>
        </is>
      </c>
      <c r="F47" s="62" t="inlineStr">
        <is>
          <t>FE</t>
        </is>
      </c>
      <c r="G47" s="59" t="n"/>
      <c r="H47" s="63" t="n">
        <v>4</v>
      </c>
      <c r="I47" s="62" t="inlineStr">
        <is>
          <t>P0-Bắt buộc</t>
        </is>
      </c>
      <c r="J47" s="59" t="inlineStr">
        <is>
          <t>API /ops/staff</t>
        </is>
      </c>
      <c r="K47" s="62" t="inlineStr">
        <is>
          <t>Chưa bắt đầu</t>
        </is>
      </c>
      <c r="L47" s="64" t="n">
        <v>0</v>
      </c>
      <c r="M47" s="63">
        <f>H47*(1-L47)</f>
        <v/>
      </c>
      <c r="N47" s="62" t="n"/>
      <c r="O47" s="59" t="n"/>
    </row>
    <row r="48" ht="15" customHeight="1" s="38">
      <c r="A48" s="62" t="inlineStr">
        <is>
          <t>P1-16</t>
        </is>
      </c>
      <c r="B48" s="59" t="inlineStr">
        <is>
          <t>P1 - IAM &amp; Console khung</t>
        </is>
      </c>
      <c r="C48" s="59" t="inlineStr">
        <is>
          <t>Frontend</t>
        </is>
      </c>
      <c r="D48" s="59" t="inlineStr">
        <is>
          <t>Console: Live Ops - bản đồ real-time toàn đội</t>
        </is>
      </c>
      <c r="E48" s="59" t="inlineStr">
        <is>
          <t>Hiện tài xế online + chuyến, lọc, click xem chi tiết</t>
        </is>
      </c>
      <c r="F48" s="62" t="inlineStr">
        <is>
          <t>FE</t>
        </is>
      </c>
      <c r="G48" s="59" t="n"/>
      <c r="H48" s="63" t="n">
        <v>5</v>
      </c>
      <c r="I48" s="62" t="inlineStr">
        <is>
          <t>P0-Bắt buộc</t>
        </is>
      </c>
      <c r="J48" s="59" t="inlineStr">
        <is>
          <t>API /ops/fleet</t>
        </is>
      </c>
      <c r="K48" s="62" t="inlineStr">
        <is>
          <t>Chưa bắt đầu</t>
        </is>
      </c>
      <c r="L48" s="64" t="n">
        <v>0</v>
      </c>
      <c r="M48" s="63">
        <f>H48*(1-L48)</f>
        <v/>
      </c>
      <c r="N48" s="62" t="n"/>
      <c r="O48" s="59" t="n"/>
    </row>
    <row r="49" ht="15" customHeight="1" s="38">
      <c r="A49" s="62" t="inlineStr">
        <is>
          <t>P1-17</t>
        </is>
      </c>
      <c r="B49" s="59" t="inlineStr">
        <is>
          <t>P1 - IAM &amp; Console khung</t>
        </is>
      </c>
      <c r="C49" s="59" t="inlineStr">
        <is>
          <t>Frontend</t>
        </is>
      </c>
      <c r="D49" s="59" t="inlineStr">
        <is>
          <t>Console: Driver Ops - duyệt hồ sơ, xem giấy tờ, khoá/mở</t>
        </is>
      </c>
      <c r="E49" s="59" t="inlineStr">
        <is>
          <t>Duyệt được 1 hồ sơ từ đầu đến cuối</t>
        </is>
      </c>
      <c r="F49" s="62" t="inlineStr">
        <is>
          <t>FE</t>
        </is>
      </c>
      <c r="G49" s="59" t="n"/>
      <c r="H49" s="63" t="n">
        <v>4</v>
      </c>
      <c r="I49" s="62" t="inlineStr">
        <is>
          <t>P0-Bắt buộc</t>
        </is>
      </c>
      <c r="J49" s="59" t="inlineStr">
        <is>
          <t>API /ops/drivers</t>
        </is>
      </c>
      <c r="K49" s="62" t="inlineStr">
        <is>
          <t>Chưa bắt đầu</t>
        </is>
      </c>
      <c r="L49" s="64" t="n">
        <v>0</v>
      </c>
      <c r="M49" s="63">
        <f>H49*(1-L49)</f>
        <v/>
      </c>
      <c r="N49" s="62" t="n"/>
      <c r="O49" s="59" t="n"/>
    </row>
    <row r="50" ht="15" customHeight="1" s="38">
      <c r="A50" s="62" t="inlineStr">
        <is>
          <t>P1-18</t>
        </is>
      </c>
      <c r="B50" s="59" t="inlineStr">
        <is>
          <t>P1 - IAM &amp; Console khung</t>
        </is>
      </c>
      <c r="C50" s="59" t="inlineStr">
        <is>
          <t>Frontend</t>
        </is>
      </c>
      <c r="D50" s="59" t="inlineStr">
        <is>
          <t>Console: danh sách chuyến + chi tiết + tua lại lộ trình</t>
        </is>
      </c>
      <c r="E50" s="59" t="inlineStr">
        <is>
          <t>Xem lại được lộ trình 1 chuyến đã hoàn thành</t>
        </is>
      </c>
      <c r="F50" s="62" t="inlineStr">
        <is>
          <t>FE</t>
        </is>
      </c>
      <c r="G50" s="59" t="n"/>
      <c r="H50" s="63" t="n">
        <v>5</v>
      </c>
      <c r="I50" s="62" t="inlineStr">
        <is>
          <t>P1-Cao</t>
        </is>
      </c>
      <c r="J50" s="59" t="inlineStr">
        <is>
          <t>API /ops/trips</t>
        </is>
      </c>
      <c r="K50" s="62" t="inlineStr">
        <is>
          <t>Chưa bắt đầu</t>
        </is>
      </c>
      <c r="L50" s="64" t="n">
        <v>0</v>
      </c>
      <c r="M50" s="63">
        <f>H50*(1-L50)</f>
        <v/>
      </c>
      <c r="N50" s="62" t="n"/>
      <c r="O50" s="59" t="n"/>
    </row>
    <row r="51" ht="22.35" customHeight="1" s="38">
      <c r="A51" s="62" t="inlineStr">
        <is>
          <t>P1-19</t>
        </is>
      </c>
      <c r="B51" s="59" t="inlineStr">
        <is>
          <t>P1 - IAM &amp; Console khung</t>
        </is>
      </c>
      <c r="C51" s="59" t="inlineStr">
        <is>
          <t>QA</t>
        </is>
      </c>
      <c r="D51" s="59" t="inlineStr">
        <is>
          <t>Bộ test case Console + kiểm thử phân quyền theo 12 vai trò</t>
        </is>
      </c>
      <c r="E51" s="59" t="inlineStr">
        <is>
          <t>Mỗi vai trò chỉ thấy đúng phần được phép</t>
        </is>
      </c>
      <c r="F51" s="62" t="inlineStr">
        <is>
          <t>FE</t>
        </is>
      </c>
      <c r="G51" s="59" t="n"/>
      <c r="H51" s="63" t="n">
        <v>3</v>
      </c>
      <c r="I51" s="62" t="inlineStr">
        <is>
          <t>P0-Bắt buộc</t>
        </is>
      </c>
      <c r="J51" s="59" t="inlineStr">
        <is>
          <t>Console IAM</t>
        </is>
      </c>
      <c r="K51" s="62" t="inlineStr">
        <is>
          <t>Chưa bắt đầu</t>
        </is>
      </c>
      <c r="L51" s="64" t="n">
        <v>0</v>
      </c>
      <c r="M51" s="63">
        <f>H51*(1-L51)</f>
        <v/>
      </c>
      <c r="N51" s="62" t="n"/>
      <c r="O51" s="59" t="n"/>
    </row>
    <row r="52" ht="22.35" customHeight="1" s="38">
      <c r="A52" s="62" t="inlineStr">
        <is>
          <t>P2-01</t>
        </is>
      </c>
      <c r="B52" s="59" t="inlineStr">
        <is>
          <t>P2 - Chat &amp; Support</t>
        </is>
      </c>
      <c r="C52" s="59" t="inlineStr">
        <is>
          <t>Backend</t>
        </is>
      </c>
      <c r="D52" s="59" t="inlineStr">
        <is>
          <t>Data model chat: conversations, members, messages, attachments (+ migration)</t>
        </is>
      </c>
      <c r="E52" s="59" t="inlineStr">
        <is>
          <t>Migration chạy sạch, có đủ chỉ mục theo tài liệu</t>
        </is>
      </c>
      <c r="F52" s="62" t="inlineStr">
        <is>
          <t>BE</t>
        </is>
      </c>
      <c r="G52" s="59" t="n"/>
      <c r="H52" s="63" t="n">
        <v>4</v>
      </c>
      <c r="I52" s="62" t="inlineStr">
        <is>
          <t>P0-Bắt buộc</t>
        </is>
      </c>
      <c r="J52" s="59" t="inlineStr">
        <is>
          <t>P1 xong</t>
        </is>
      </c>
      <c r="K52" s="62" t="inlineStr">
        <is>
          <t>Chưa bắt đầu</t>
        </is>
      </c>
      <c r="L52" s="64" t="n">
        <v>0</v>
      </c>
      <c r="M52" s="63">
        <f>H52*(1-L52)</f>
        <v/>
      </c>
      <c r="N52" s="62" t="n"/>
      <c r="O52" s="59" t="inlineStr">
        <is>
          <t>Hoàn toàn chưa có — đây là module mới</t>
        </is>
      </c>
    </row>
    <row r="53" ht="15" customHeight="1" s="38">
      <c r="A53" s="62" t="inlineStr">
        <is>
          <t>P2-02</t>
        </is>
      </c>
      <c r="B53" s="59" t="inlineStr">
        <is>
          <t>P2 - Chat &amp; Support</t>
        </is>
      </c>
      <c r="C53" s="59" t="inlineStr">
        <is>
          <t>Backend</t>
        </is>
      </c>
      <c r="D53" s="59" t="inlineStr">
        <is>
          <t>Chat service: gửi/nhận, khử trùng theo client_msg_id</t>
        </is>
      </c>
      <c r="E53" s="59" t="inlineStr">
        <is>
          <t>Gửi lại cùng client_msg_id không tạo tin trùng</t>
        </is>
      </c>
      <c r="F53" s="62" t="inlineStr">
        <is>
          <t>BE</t>
        </is>
      </c>
      <c r="G53" s="59" t="n"/>
      <c r="H53" s="63" t="n">
        <v>4</v>
      </c>
      <c r="I53" s="62" t="inlineStr">
        <is>
          <t>P0-Bắt buộc</t>
        </is>
      </c>
      <c r="J53" s="59" t="inlineStr">
        <is>
          <t>Data model chat</t>
        </is>
      </c>
      <c r="K53" s="62" t="inlineStr">
        <is>
          <t>Chưa bắt đầu</t>
        </is>
      </c>
      <c r="L53" s="64" t="n">
        <v>0</v>
      </c>
      <c r="M53" s="63">
        <f>H53*(1-L53)</f>
        <v/>
      </c>
      <c r="N53" s="62" t="n"/>
      <c r="O53" s="59" t="n"/>
    </row>
    <row r="54" ht="15" customHeight="1" s="38">
      <c r="A54" s="62" t="inlineStr">
        <is>
          <t>P2-03</t>
        </is>
      </c>
      <c r="B54" s="59" t="inlineStr">
        <is>
          <t>P2 - Chat &amp; Support</t>
        </is>
      </c>
      <c r="C54" s="59" t="inlineStr">
        <is>
          <t>Backend</t>
        </is>
      </c>
      <c r="D54" s="59" t="inlineStr">
        <is>
          <t>Phân trang con trỏ + đồng bộ bù sau khi mất kết nối</t>
        </is>
      </c>
      <c r="E54" s="59" t="inlineStr">
        <is>
          <t>Mất mạng 5 phút, nối lại thấy đủ tin đã lỡ</t>
        </is>
      </c>
      <c r="F54" s="62" t="inlineStr">
        <is>
          <t>BE</t>
        </is>
      </c>
      <c r="G54" s="59" t="n"/>
      <c r="H54" s="63" t="n">
        <v>3</v>
      </c>
      <c r="I54" s="62" t="inlineStr">
        <is>
          <t>P0-Bắt buộc</t>
        </is>
      </c>
      <c r="J54" s="59" t="inlineStr">
        <is>
          <t>Chat service</t>
        </is>
      </c>
      <c r="K54" s="62" t="inlineStr">
        <is>
          <t>Chưa bắt đầu</t>
        </is>
      </c>
      <c r="L54" s="64" t="n">
        <v>0</v>
      </c>
      <c r="M54" s="63">
        <f>H54*(1-L54)</f>
        <v/>
      </c>
      <c r="N54" s="62" t="n"/>
      <c r="O54" s="59" t="n"/>
    </row>
    <row r="55" ht="15" customHeight="1" s="38">
      <c r="A55" s="62" t="inlineStr">
        <is>
          <t>P2-04</t>
        </is>
      </c>
      <c r="B55" s="59" t="inlineStr">
        <is>
          <t>P2 - Chat &amp; Support</t>
        </is>
      </c>
      <c r="C55" s="59" t="inlineStr">
        <is>
          <t>Backend</t>
        </is>
      </c>
      <c r="D55" s="59" t="inlineStr">
        <is>
          <t>Đã đọc (read receipt) + đếm tin chưa đọc</t>
        </is>
      </c>
      <c r="E55" s="59" t="inlineStr">
        <is>
          <t>Số chưa đọc đúng trên mọi thiết bị</t>
        </is>
      </c>
      <c r="F55" s="62" t="inlineStr">
        <is>
          <t>BE</t>
        </is>
      </c>
      <c r="G55" s="59" t="n"/>
      <c r="H55" s="63" t="n">
        <v>2</v>
      </c>
      <c r="I55" s="62" t="inlineStr">
        <is>
          <t>P1-Cao</t>
        </is>
      </c>
      <c r="J55" s="59" t="inlineStr">
        <is>
          <t>Chat service</t>
        </is>
      </c>
      <c r="K55" s="62" t="inlineStr">
        <is>
          <t>Chưa bắt đầu</t>
        </is>
      </c>
      <c r="L55" s="64" t="n">
        <v>0</v>
      </c>
      <c r="M55" s="63">
        <f>H55*(1-L55)</f>
        <v/>
      </c>
      <c r="N55" s="62" t="n"/>
      <c r="O55" s="59" t="n"/>
    </row>
    <row r="56" ht="15" customHeight="1" s="38">
      <c r="A56" s="62" t="inlineStr">
        <is>
          <t>P2-05</t>
        </is>
      </c>
      <c r="B56" s="59" t="inlineStr">
        <is>
          <t>P2 - Chat &amp; Support</t>
        </is>
      </c>
      <c r="C56" s="59" t="inlineStr">
        <is>
          <t>Backend</t>
        </is>
      </c>
      <c r="D56" s="59" t="inlineStr">
        <is>
          <t>Đang gõ (typing) qua WS, không lưu DB</t>
        </is>
      </c>
      <c r="E56" s="59" t="inlineStr">
        <is>
          <t>Hiển thị đúng, tự tắt sau 5s</t>
        </is>
      </c>
      <c r="F56" s="62" t="inlineStr">
        <is>
          <t>BE</t>
        </is>
      </c>
      <c r="G56" s="59" t="n"/>
      <c r="H56" s="63" t="n">
        <v>1</v>
      </c>
      <c r="I56" s="62" t="inlineStr">
        <is>
          <t>P2-Trung bình</t>
        </is>
      </c>
      <c r="J56" s="59" t="inlineStr">
        <is>
          <t>Chat service</t>
        </is>
      </c>
      <c r="K56" s="62" t="inlineStr">
        <is>
          <t>Chưa bắt đầu</t>
        </is>
      </c>
      <c r="L56" s="64" t="n">
        <v>0</v>
      </c>
      <c r="M56" s="63">
        <f>H56*(1-L56)</f>
        <v/>
      </c>
      <c r="N56" s="62" t="n"/>
      <c r="O56" s="59" t="n"/>
    </row>
    <row r="57" ht="15" customHeight="1" s="38">
      <c r="A57" s="62" t="inlineStr">
        <is>
          <t>P2-06</t>
        </is>
      </c>
      <c r="B57" s="59" t="inlineStr">
        <is>
          <t>P2 - Chat &amp; Support</t>
        </is>
      </c>
      <c r="C57" s="59" t="inlineStr">
        <is>
          <t>Backend</t>
        </is>
      </c>
      <c r="D57" s="59" t="inlineStr">
        <is>
          <t>Tin hệ thống: CSKH tham gia/rời hội thoại 3 bên</t>
        </is>
      </c>
      <c r="E57" s="59" t="inlineStr">
        <is>
          <t>Khách và tài xế đều thấy thông báo khi agent vào</t>
        </is>
      </c>
      <c r="F57" s="62" t="inlineStr">
        <is>
          <t>BE</t>
        </is>
      </c>
      <c r="G57" s="59" t="n"/>
      <c r="H57" s="63" t="n">
        <v>2</v>
      </c>
      <c r="I57" s="62" t="inlineStr">
        <is>
          <t>P0-Bắt buộc</t>
        </is>
      </c>
      <c r="J57" s="59" t="inlineStr">
        <is>
          <t>Chat service</t>
        </is>
      </c>
      <c r="K57" s="62" t="inlineStr">
        <is>
          <t>Chưa bắt đầu</t>
        </is>
      </c>
      <c r="L57" s="64" t="n">
        <v>0</v>
      </c>
      <c r="M57" s="63">
        <f>H57*(1-L57)</f>
        <v/>
      </c>
      <c r="N57" s="62" t="n"/>
      <c r="O57" s="59" t="inlineStr">
        <is>
          <t>Đây là yêu cầu cốt lõi: chat 3 bên CSKH - tài xế - khách</t>
        </is>
      </c>
    </row>
    <row r="58" ht="22.35" customHeight="1" s="38">
      <c r="A58" s="62" t="inlineStr">
        <is>
          <t>P2-07</t>
        </is>
      </c>
      <c r="B58" s="59" t="inlineStr">
        <is>
          <t>P2 - Chat &amp; Support</t>
        </is>
      </c>
      <c r="C58" s="59" t="inlineStr">
        <is>
          <t>Backend</t>
        </is>
      </c>
      <c r="D58" s="59" t="inlineStr">
        <is>
          <t>Tự tạo conversation trip khi matched; Celery tự đóng sau 24h</t>
        </is>
      </c>
      <c r="E58" s="59" t="inlineStr">
        <is>
          <t>Không cần thao tác tay để mở/đóng chat chuyến</t>
        </is>
      </c>
      <c r="F58" s="62" t="inlineStr">
        <is>
          <t>BE</t>
        </is>
      </c>
      <c r="G58" s="59" t="n"/>
      <c r="H58" s="63" t="n">
        <v>3</v>
      </c>
      <c r="I58" s="62" t="inlineStr">
        <is>
          <t>P0-Bắt buộc</t>
        </is>
      </c>
      <c r="J58" s="59" t="inlineStr">
        <is>
          <t>Chat service</t>
        </is>
      </c>
      <c r="K58" s="62" t="inlineStr">
        <is>
          <t>Chưa bắt đầu</t>
        </is>
      </c>
      <c r="L58" s="64" t="n">
        <v>0</v>
      </c>
      <c r="M58" s="63">
        <f>H58*(1-L58)</f>
        <v/>
      </c>
      <c r="N58" s="62" t="n"/>
      <c r="O58" s="59" t="n"/>
    </row>
    <row r="59" ht="22.35" customHeight="1" s="38">
      <c r="A59" s="62" t="inlineStr">
        <is>
          <t>P2-08</t>
        </is>
      </c>
      <c r="B59" s="59" t="inlineStr">
        <is>
          <t>P2 - Chat &amp; Support</t>
        </is>
      </c>
      <c r="C59" s="59" t="inlineStr">
        <is>
          <t>Backend</t>
        </is>
      </c>
      <c r="D59" s="59" t="inlineStr">
        <is>
          <t>domains/support: ticket, SLA, phân công, escalate, ticket_events</t>
        </is>
      </c>
      <c r="E59" s="59" t="inlineStr">
        <is>
          <t>SLA quá hạn tự escalate lên cs_lead</t>
        </is>
      </c>
      <c r="F59" s="62" t="inlineStr">
        <is>
          <t>BE</t>
        </is>
      </c>
      <c r="G59" s="59" t="n"/>
      <c r="H59" s="63" t="n">
        <v>5</v>
      </c>
      <c r="I59" s="62" t="inlineStr">
        <is>
          <t>P0-Bắt buộc</t>
        </is>
      </c>
      <c r="J59" s="59" t="inlineStr">
        <is>
          <t>Data model chat</t>
        </is>
      </c>
      <c r="K59" s="62" t="inlineStr">
        <is>
          <t>Chưa bắt đầu</t>
        </is>
      </c>
      <c r="L59" s="64" t="n">
        <v>0</v>
      </c>
      <c r="M59" s="63">
        <f>H59*(1-L59)</f>
        <v/>
      </c>
      <c r="N59" s="62" t="n"/>
      <c r="O59" s="59" t="n"/>
    </row>
    <row r="60" ht="22.35" customHeight="1" s="38">
      <c r="A60" s="62" t="inlineStr">
        <is>
          <t>P2-09</t>
        </is>
      </c>
      <c r="B60" s="59" t="inlineStr">
        <is>
          <t>P2 - Chat &amp; Support</t>
        </is>
      </c>
      <c r="C60" s="59" t="inlineStr">
        <is>
          <t>Backend</t>
        </is>
      </c>
      <c r="D60" s="59" t="inlineStr">
        <is>
          <t>Tự phân phối ticket theo agent_presence (slot, đội, lịch sử khách)</t>
        </is>
      </c>
      <c r="E60" s="59" t="inlineStr">
        <is>
          <t>Ticket mới vào đúng agent còn slot</t>
        </is>
      </c>
      <c r="F60" s="62" t="inlineStr">
        <is>
          <t>BE</t>
        </is>
      </c>
      <c r="G60" s="59" t="n"/>
      <c r="H60" s="63" t="n">
        <v>3</v>
      </c>
      <c r="I60" s="62" t="inlineStr">
        <is>
          <t>P1-Cao</t>
        </is>
      </c>
      <c r="J60" s="59" t="inlineStr">
        <is>
          <t>domains/support</t>
        </is>
      </c>
      <c r="K60" s="62" t="inlineStr">
        <is>
          <t>Chưa bắt đầu</t>
        </is>
      </c>
      <c r="L60" s="64" t="n">
        <v>0</v>
      </c>
      <c r="M60" s="63">
        <f>H60*(1-L60)</f>
        <v/>
      </c>
      <c r="N60" s="62" t="n"/>
      <c r="O60" s="59" t="n"/>
    </row>
    <row r="61" ht="15" customHeight="1" s="38">
      <c r="A61" s="62" t="inlineStr">
        <is>
          <t>P2-10</t>
        </is>
      </c>
      <c r="B61" s="59" t="inlineStr">
        <is>
          <t>P2 - Chat &amp; Support</t>
        </is>
      </c>
      <c r="C61" s="59" t="inlineStr">
        <is>
          <t>Backend</t>
        </is>
      </c>
      <c r="D61" s="59" t="inlineStr">
        <is>
          <t>Canned responses theo đội + gõ tắt</t>
        </is>
      </c>
      <c r="E61" s="59" t="inlineStr">
        <is>
          <t>Agent gõ /hoantien ra mẫu trả lời</t>
        </is>
      </c>
      <c r="F61" s="62" t="inlineStr">
        <is>
          <t>BE</t>
        </is>
      </c>
      <c r="G61" s="59" t="n"/>
      <c r="H61" s="63" t="n">
        <v>2</v>
      </c>
      <c r="I61" s="62" t="inlineStr">
        <is>
          <t>P2-Trung bình</t>
        </is>
      </c>
      <c r="J61" s="59" t="inlineStr">
        <is>
          <t>domains/support</t>
        </is>
      </c>
      <c r="K61" s="62" t="inlineStr">
        <is>
          <t>Chưa bắt đầu</t>
        </is>
      </c>
      <c r="L61" s="64" t="n">
        <v>0</v>
      </c>
      <c r="M61" s="63">
        <f>H61*(1-L61)</f>
        <v/>
      </c>
      <c r="N61" s="62" t="n"/>
      <c r="O61" s="59" t="n"/>
    </row>
    <row r="62" ht="22.35" customHeight="1" s="38">
      <c r="A62" s="62" t="inlineStr">
        <is>
          <t>P2-11</t>
        </is>
      </c>
      <c r="B62" s="59" t="inlineStr">
        <is>
          <t>P2 - Chat &amp; Support</t>
        </is>
      </c>
      <c r="C62" s="59" t="inlineStr">
        <is>
          <t>Backend</t>
        </is>
      </c>
      <c r="D62" s="59" t="inlineStr">
        <is>
          <t>Bộ lọc phát hiện thanh toán ngoài app trong tin nhắn → gắn cờ</t>
        </is>
      </c>
      <c r="E62" s="59" t="inlineStr">
        <is>
          <t>Phát hiện số tài khoản/link ví, KHÔNG chặn tin, đẩy vào hàng đợi risk</t>
        </is>
      </c>
      <c r="F62" s="62" t="inlineStr">
        <is>
          <t>BE</t>
        </is>
      </c>
      <c r="G62" s="59" t="n"/>
      <c r="H62" s="63" t="n">
        <v>3</v>
      </c>
      <c r="I62" s="62" t="inlineStr">
        <is>
          <t>P1-Cao</t>
        </is>
      </c>
      <c r="J62" s="59" t="inlineStr">
        <is>
          <t>Chat service</t>
        </is>
      </c>
      <c r="K62" s="62" t="inlineStr">
        <is>
          <t>Chưa bắt đầu</t>
        </is>
      </c>
      <c r="L62" s="64" t="n">
        <v>0</v>
      </c>
      <c r="M62" s="63">
        <f>H62*(1-L62)</f>
        <v/>
      </c>
      <c r="N62" s="62" t="n"/>
      <c r="O62" s="59" t="inlineStr">
        <is>
          <t>Nối vào fraud_review_queue đã có sẵn</t>
        </is>
      </c>
    </row>
    <row r="63" ht="15" customHeight="1" s="38">
      <c r="A63" s="62" t="inlineStr">
        <is>
          <t>P2-12</t>
        </is>
      </c>
      <c r="B63" s="59" t="inlineStr">
        <is>
          <t>P2 - Chat &amp; Support</t>
        </is>
      </c>
      <c r="C63" s="59" t="inlineStr">
        <is>
          <t>Backend</t>
        </is>
      </c>
      <c r="D63" s="59" t="inlineStr">
        <is>
          <t>Upload ảnh: presigned S3, quét virus, giới hạn 5MB</t>
        </is>
      </c>
      <c r="E63" s="59" t="inlineStr">
        <is>
          <t>Ảnh chỉ đọc được qua URL ký hạn 15 phút</t>
        </is>
      </c>
      <c r="F63" s="62" t="inlineStr">
        <is>
          <t>BE</t>
        </is>
      </c>
      <c r="G63" s="59" t="n"/>
      <c r="H63" s="63" t="n">
        <v>4</v>
      </c>
      <c r="I63" s="62" t="inlineStr">
        <is>
          <t>P1-Cao</t>
        </is>
      </c>
      <c r="J63" s="59" t="inlineStr">
        <is>
          <t>Data model chat</t>
        </is>
      </c>
      <c r="K63" s="62" t="inlineStr">
        <is>
          <t>Chưa bắt đầu</t>
        </is>
      </c>
      <c r="L63" s="64" t="n">
        <v>0</v>
      </c>
      <c r="M63" s="63">
        <f>H63*(1-L63)</f>
        <v/>
      </c>
      <c r="N63" s="62" t="n"/>
      <c r="O63" s="59" t="n"/>
    </row>
    <row r="64" ht="15" customHeight="1" s="38">
      <c r="A64" s="62" t="inlineStr">
        <is>
          <t>P2-13</t>
        </is>
      </c>
      <c r="B64" s="59" t="inlineStr">
        <is>
          <t>P2 - Chat &amp; Support</t>
        </is>
      </c>
      <c r="C64" s="59" t="inlineStr">
        <is>
          <t>Backend</t>
        </is>
      </c>
      <c r="D64" s="59" t="inlineStr">
        <is>
          <t>Push FCM khi người nhận offline (chat + offer chuyến)</t>
        </is>
      </c>
      <c r="E64" s="59" t="inlineStr">
        <is>
          <t>Tin nhắn tới máy trong 5 giây khi app đóng</t>
        </is>
      </c>
      <c r="F64" s="62" t="inlineStr">
        <is>
          <t>BE</t>
        </is>
      </c>
      <c r="G64" s="59" t="n"/>
      <c r="H64" s="63" t="n">
        <v>4</v>
      </c>
      <c r="I64" s="62" t="inlineStr">
        <is>
          <t>P0-Bắt buộc</t>
        </is>
      </c>
      <c r="J64" s="59" t="inlineStr">
        <is>
          <t>Chat service</t>
        </is>
      </c>
      <c r="K64" s="62" t="inlineStr">
        <is>
          <t>Chưa bắt đầu</t>
        </is>
      </c>
      <c r="L64" s="64" t="n">
        <v>0</v>
      </c>
      <c r="M64" s="63">
        <f>H64*(1-L64)</f>
        <v/>
      </c>
      <c r="N64" s="62" t="n"/>
      <c r="O64" s="59" t="inlineStr">
        <is>
          <t>notifications hiện chỉ đẩy WS, chưa có push thật</t>
        </is>
      </c>
    </row>
    <row r="65" ht="22.35" customHeight="1" s="38">
      <c r="A65" s="62" t="inlineStr">
        <is>
          <t>P2-14</t>
        </is>
      </c>
      <c r="B65" s="59" t="inlineStr">
        <is>
          <t>P2 - Chat &amp; Support</t>
        </is>
      </c>
      <c r="C65" s="59" t="inlineStr">
        <is>
          <t>Backend</t>
        </is>
      </c>
      <c r="D65" s="59" t="inlineStr">
        <is>
          <t>Refactor WS gateway: đa topic (user/conv/ops), ack, auth.expired</t>
        </is>
      </c>
      <c r="E65" s="59" t="inlineStr">
        <is>
          <t>1 kết nối phục vụ chat + tracking + offer</t>
        </is>
      </c>
      <c r="F65" s="62" t="inlineStr">
        <is>
          <t>BE</t>
        </is>
      </c>
      <c r="G65" s="59" t="n"/>
      <c r="H65" s="63" t="n">
        <v>4</v>
      </c>
      <c r="I65" s="62" t="inlineStr">
        <is>
          <t>P0-Bắt buộc</t>
        </is>
      </c>
      <c r="J65" s="59" t="inlineStr">
        <is>
          <t>P1 xong</t>
        </is>
      </c>
      <c r="K65" s="62" t="inlineStr">
        <is>
          <t>Chưa bắt đầu</t>
        </is>
      </c>
      <c r="L65" s="64" t="n">
        <v>0</v>
      </c>
      <c r="M65" s="63">
        <f>H65*(1-L65)</f>
        <v/>
      </c>
      <c r="N65" s="62" t="n"/>
      <c r="O65" s="59" t="inlineStr">
        <is>
          <t>connection_manager + Redis pub/sub đã có, cần mở rộng topic</t>
        </is>
      </c>
    </row>
    <row r="66" ht="22.35" customHeight="1" s="38">
      <c r="A66" s="62" t="inlineStr">
        <is>
          <t>P2-15</t>
        </is>
      </c>
      <c r="B66" s="59" t="inlineStr">
        <is>
          <t>P2 - Chat &amp; Support</t>
        </is>
      </c>
      <c r="C66" s="59" t="inlineStr">
        <is>
          <t>Frontend</t>
        </is>
      </c>
      <c r="D66" s="59" t="inlineStr">
        <is>
          <t>packages/realtime-client: WS client dùng chung (reconnect, ack, hàng đợi)</t>
        </is>
      </c>
      <c r="E66" s="59" t="inlineStr">
        <is>
          <t>Dùng được ở cả web và React Native</t>
        </is>
      </c>
      <c r="F66" s="62" t="inlineStr">
        <is>
          <t>FE</t>
        </is>
      </c>
      <c r="G66" s="59" t="n"/>
      <c r="H66" s="63" t="n">
        <v>5</v>
      </c>
      <c r="I66" s="62" t="inlineStr">
        <is>
          <t>P0-Bắt buộc</t>
        </is>
      </c>
      <c r="J66" s="59" t="inlineStr">
        <is>
          <t>WS gateway</t>
        </is>
      </c>
      <c r="K66" s="62" t="inlineStr">
        <is>
          <t>Chưa bắt đầu</t>
        </is>
      </c>
      <c r="L66" s="64" t="n">
        <v>0</v>
      </c>
      <c r="M66" s="63">
        <f>H66*(1-L66)</f>
        <v/>
      </c>
      <c r="N66" s="62" t="n"/>
      <c r="O66" s="59" t="n"/>
    </row>
    <row r="67" ht="22.35" customHeight="1" s="38">
      <c r="A67" s="62" t="inlineStr">
        <is>
          <t>P2-16</t>
        </is>
      </c>
      <c r="B67" s="59" t="inlineStr">
        <is>
          <t>P2 - Chat &amp; Support</t>
        </is>
      </c>
      <c r="C67" s="59" t="inlineStr">
        <is>
          <t>Frontend</t>
        </is>
      </c>
      <c r="D67" s="59" t="inlineStr">
        <is>
          <t>Console: Support Desk (hàng đợi, khung chat, thông tin khách, ticket)</t>
        </is>
      </c>
      <c r="E67" s="59" t="inlineStr">
        <is>
          <t>Agent xử lý trọn 1 ticket không rời màn hình</t>
        </is>
      </c>
      <c r="F67" s="62" t="inlineStr">
        <is>
          <t>FE</t>
        </is>
      </c>
      <c r="G67" s="59" t="n"/>
      <c r="H67" s="63" t="n">
        <v>8</v>
      </c>
      <c r="I67" s="62" t="inlineStr">
        <is>
          <t>P0-Bắt buộc</t>
        </is>
      </c>
      <c r="J67" s="59" t="inlineStr">
        <is>
          <t>domains/support</t>
        </is>
      </c>
      <c r="K67" s="62" t="inlineStr">
        <is>
          <t>Chưa bắt đầu</t>
        </is>
      </c>
      <c r="L67" s="64" t="n">
        <v>0</v>
      </c>
      <c r="M67" s="63">
        <f>H67*(1-L67)</f>
        <v/>
      </c>
      <c r="N67" s="62" t="n"/>
      <c r="O67" s="59" t="n"/>
    </row>
    <row r="68" ht="15" customHeight="1" s="38">
      <c r="A68" s="62" t="inlineStr">
        <is>
          <t>P2-17</t>
        </is>
      </c>
      <c r="B68" s="59" t="inlineStr">
        <is>
          <t>P2 - Chat &amp; Support</t>
        </is>
      </c>
      <c r="C68" s="59" t="inlineStr">
        <is>
          <t>Frontend</t>
        </is>
      </c>
      <c r="D68" s="59" t="inlineStr">
        <is>
          <t>Console: nút tham gia / rời hội thoại 3 bên</t>
        </is>
      </c>
      <c r="E68" s="59" t="inlineStr">
        <is>
          <t>Agent vào chat chuyến, cả 2 bên thấy</t>
        </is>
      </c>
      <c r="F68" s="62" t="inlineStr">
        <is>
          <t>FE</t>
        </is>
      </c>
      <c r="G68" s="59" t="n"/>
      <c r="H68" s="63" t="n">
        <v>2</v>
      </c>
      <c r="I68" s="62" t="inlineStr">
        <is>
          <t>P0-Bắt buộc</t>
        </is>
      </c>
      <c r="J68" s="59" t="inlineStr">
        <is>
          <t>Tin hệ thống 3 bên</t>
        </is>
      </c>
      <c r="K68" s="62" t="inlineStr">
        <is>
          <t>Chưa bắt đầu</t>
        </is>
      </c>
      <c r="L68" s="64" t="n">
        <v>0</v>
      </c>
      <c r="M68" s="63">
        <f>H68*(1-L68)</f>
        <v/>
      </c>
      <c r="N68" s="62" t="n"/>
      <c r="O68" s="59" t="n"/>
    </row>
    <row r="69" ht="22.35" customHeight="1" s="38">
      <c r="A69" s="62" t="inlineStr">
        <is>
          <t>P2-18</t>
        </is>
      </c>
      <c r="B69" s="59" t="inlineStr">
        <is>
          <t>P2 - Chat &amp; Support</t>
        </is>
      </c>
      <c r="C69" s="59" t="inlineStr">
        <is>
          <t>Frontend</t>
        </is>
      </c>
      <c r="D69" s="59" t="inlineStr">
        <is>
          <t>Console: tra cứu lịch sử chat theo khách/tài xế/chuyến</t>
        </is>
      </c>
      <c r="E69" s="59" t="inlineStr">
        <is>
          <t>Tìm được hội thoại cũ phục vụ khiếu nại; mỗi lần xem ghi audit</t>
        </is>
      </c>
      <c r="F69" s="62" t="inlineStr">
        <is>
          <t>FE</t>
        </is>
      </c>
      <c r="G69" s="59" t="n"/>
      <c r="H69" s="63" t="n">
        <v>3</v>
      </c>
      <c r="I69" s="62" t="inlineStr">
        <is>
          <t>P1-Cao</t>
        </is>
      </c>
      <c r="J69" s="59" t="inlineStr">
        <is>
          <t>Chat service</t>
        </is>
      </c>
      <c r="K69" s="62" t="inlineStr">
        <is>
          <t>Chưa bắt đầu</t>
        </is>
      </c>
      <c r="L69" s="64" t="n">
        <v>0</v>
      </c>
      <c r="M69" s="63">
        <f>H69*(1-L69)</f>
        <v/>
      </c>
      <c r="N69" s="62" t="n"/>
      <c r="O69" s="59" t="n"/>
    </row>
    <row r="70" ht="15" customHeight="1" s="38">
      <c r="A70" s="62" t="inlineStr">
        <is>
          <t>P2-19</t>
        </is>
      </c>
      <c r="B70" s="59" t="inlineStr">
        <is>
          <t>P2 - Chat &amp; Support</t>
        </is>
      </c>
      <c r="C70" s="59" t="inlineStr">
        <is>
          <t>Frontend</t>
        </is>
      </c>
      <c r="D70" s="59" t="inlineStr">
        <is>
          <t>Console: bảng SLA &amp; hiệu suất agent</t>
        </is>
      </c>
      <c r="E70" s="59" t="inlineStr">
        <is>
          <t>Thấy phản hồi đầu, thời gian xử lý, tỷ lệ reopen</t>
        </is>
      </c>
      <c r="F70" s="62" t="inlineStr">
        <is>
          <t>FE</t>
        </is>
      </c>
      <c r="G70" s="59" t="n"/>
      <c r="H70" s="63" t="n">
        <v>3</v>
      </c>
      <c r="I70" s="62" t="inlineStr">
        <is>
          <t>P1-Cao</t>
        </is>
      </c>
      <c r="J70" s="59" t="inlineStr">
        <is>
          <t>domains/support</t>
        </is>
      </c>
      <c r="K70" s="62" t="inlineStr">
        <is>
          <t>Chưa bắt đầu</t>
        </is>
      </c>
      <c r="L70" s="64" t="n">
        <v>0</v>
      </c>
      <c r="M70" s="63">
        <f>H70*(1-L70)</f>
        <v/>
      </c>
      <c r="N70" s="62" t="n"/>
      <c r="O70" s="59" t="n"/>
    </row>
    <row r="71" ht="15" customHeight="1" s="38">
      <c r="A71" s="62" t="inlineStr">
        <is>
          <t>P2-20</t>
        </is>
      </c>
      <c r="B71" s="59" t="inlineStr">
        <is>
          <t>P2 - Chat &amp; Support</t>
        </is>
      </c>
      <c r="C71" s="59" t="inlineStr">
        <is>
          <t>Backend</t>
        </is>
      </c>
      <c r="D71" s="59" t="inlineStr">
        <is>
          <t>Job ẩn danh hoá chat quá hạn lưu trữ (12/24 tháng)</t>
        </is>
      </c>
      <c r="E71" s="59" t="inlineStr">
        <is>
          <t>Celery beat chạy đúng, có log</t>
        </is>
      </c>
      <c r="F71" s="62" t="inlineStr">
        <is>
          <t>BE</t>
        </is>
      </c>
      <c r="G71" s="59" t="n"/>
      <c r="H71" s="63" t="n">
        <v>2</v>
      </c>
      <c r="I71" s="62" t="inlineStr">
        <is>
          <t>P2-Trung bình</t>
        </is>
      </c>
      <c r="J71" s="59" t="inlineStr">
        <is>
          <t>Data model chat</t>
        </is>
      </c>
      <c r="K71" s="62" t="inlineStr">
        <is>
          <t>Chưa bắt đầu</t>
        </is>
      </c>
      <c r="L71" s="64" t="n">
        <v>0</v>
      </c>
      <c r="M71" s="63">
        <f>H71*(1-L71)</f>
        <v/>
      </c>
      <c r="N71" s="62" t="n"/>
      <c r="O71" s="59" t="n"/>
    </row>
    <row r="72" ht="22.35" customHeight="1" s="38">
      <c r="A72" s="62" t="inlineStr">
        <is>
          <t>P2-21</t>
        </is>
      </c>
      <c r="B72" s="59" t="inlineStr">
        <is>
          <t>P2 - Chat &amp; Support</t>
        </is>
      </c>
      <c r="C72" s="59" t="inlineStr">
        <is>
          <t>QA</t>
        </is>
      </c>
      <c r="D72" s="59" t="inlineStr">
        <is>
          <t>Kịch bản: 3 bên, mất mạng giữa chừng, gửi trùng, ảnh, push</t>
        </is>
      </c>
      <c r="E72" s="59" t="inlineStr">
        <is>
          <t>Không mất tin, không trùng tin trong mọi kịch bản</t>
        </is>
      </c>
      <c r="F72" s="62" t="inlineStr">
        <is>
          <t>FE</t>
        </is>
      </c>
      <c r="G72" s="59" t="n"/>
      <c r="H72" s="63" t="n">
        <v>3</v>
      </c>
      <c r="I72" s="62" t="inlineStr">
        <is>
          <t>P0-Bắt buộc</t>
        </is>
      </c>
      <c r="J72" s="59" t="inlineStr">
        <is>
          <t>Console Support Desk</t>
        </is>
      </c>
      <c r="K72" s="62" t="inlineStr">
        <is>
          <t>Chưa bắt đầu</t>
        </is>
      </c>
      <c r="L72" s="64" t="n">
        <v>0</v>
      </c>
      <c r="M72" s="63">
        <f>H72*(1-L72)</f>
        <v/>
      </c>
      <c r="N72" s="62" t="n"/>
      <c r="O72" s="59" t="n"/>
    </row>
    <row r="73" ht="15" customHeight="1" s="38">
      <c r="A73" s="62" t="inlineStr">
        <is>
          <t>P3-01</t>
        </is>
      </c>
      <c r="B73" s="59" t="inlineStr">
        <is>
          <t>P3 - Driver App</t>
        </is>
      </c>
      <c r="C73" s="59" t="inlineStr">
        <is>
          <t>Mobile</t>
        </is>
      </c>
      <c r="D73" s="59" t="inlineStr">
        <is>
          <t>Expo scaffold: navigation, theme, i18n, cấu hình build</t>
        </is>
      </c>
      <c r="E73" s="59" t="inlineStr">
        <is>
          <t>Chạy được trên máy thật iOS + Android</t>
        </is>
      </c>
      <c r="F73" s="62" t="inlineStr">
        <is>
          <t>MOB</t>
        </is>
      </c>
      <c r="G73" s="59" t="n"/>
      <c r="H73" s="63" t="n">
        <v>4</v>
      </c>
      <c r="I73" s="62" t="inlineStr">
        <is>
          <t>P0-Bắt buộc</t>
        </is>
      </c>
      <c r="J73" s="59" t="inlineStr">
        <is>
          <t>P2 xong</t>
        </is>
      </c>
      <c r="K73" s="62" t="inlineStr">
        <is>
          <t>Chưa bắt đầu</t>
        </is>
      </c>
      <c r="L73" s="64" t="n">
        <v>0</v>
      </c>
      <c r="M73" s="63">
        <f>H73*(1-L73)</f>
        <v/>
      </c>
      <c r="N73" s="62" t="n"/>
      <c r="O73" s="59" t="inlineStr">
        <is>
          <t>Chưa có app tài xế — đây là phần rủi ro kỹ thuật cao nhất dự án</t>
        </is>
      </c>
    </row>
    <row r="74" ht="15" customHeight="1" s="38">
      <c r="A74" s="62" t="inlineStr">
        <is>
          <t>P3-02</t>
        </is>
      </c>
      <c r="B74" s="59" t="inlineStr">
        <is>
          <t>P3 - Driver App</t>
        </is>
      </c>
      <c r="C74" s="59" t="inlineStr">
        <is>
          <t>Mobile</t>
        </is>
      </c>
      <c r="D74" s="59" t="inlineStr">
        <is>
          <t>Auth OTP + lưu token bằng SecureStore + tự refresh</t>
        </is>
      </c>
      <c r="E74" s="59" t="inlineStr">
        <is>
          <t>Không phải đăng nhập lại mỗi ngày</t>
        </is>
      </c>
      <c r="F74" s="62" t="inlineStr">
        <is>
          <t>MOB</t>
        </is>
      </c>
      <c r="G74" s="59" t="n"/>
      <c r="H74" s="63" t="n">
        <v>3</v>
      </c>
      <c r="I74" s="62" t="inlineStr">
        <is>
          <t>P0-Bắt buộc</t>
        </is>
      </c>
      <c r="J74" s="59" t="inlineStr">
        <is>
          <t>Expo scaffold</t>
        </is>
      </c>
      <c r="K74" s="62" t="inlineStr">
        <is>
          <t>Chưa bắt đầu</t>
        </is>
      </c>
      <c r="L74" s="64" t="n">
        <v>0</v>
      </c>
      <c r="M74" s="63">
        <f>H74*(1-L74)</f>
        <v/>
      </c>
      <c r="N74" s="62" t="n"/>
      <c r="O74" s="59" t="n"/>
    </row>
    <row r="75" ht="22.35" customHeight="1" s="38">
      <c r="A75" s="62" t="inlineStr">
        <is>
          <t>P3-03</t>
        </is>
      </c>
      <c r="B75" s="59" t="inlineStr">
        <is>
          <t>P3 - Driver App</t>
        </is>
      </c>
      <c r="C75" s="59" t="inlineStr">
        <is>
          <t>Mobile</t>
        </is>
      </c>
      <c r="D75" s="59" t="inlineStr">
        <is>
          <t>Onboarding: chụp CCCD/GPLX, upload, theo dõi trạng thái duyệt</t>
        </is>
      </c>
      <c r="E75" s="59" t="inlineStr">
        <is>
          <t>Nộp hồ sơ đến khi được duyệt, thấy lý do nếu bị từ chối</t>
        </is>
      </c>
      <c r="F75" s="62" t="inlineStr">
        <is>
          <t>MOB</t>
        </is>
      </c>
      <c r="G75" s="59" t="n"/>
      <c r="H75" s="63" t="n">
        <v>5</v>
      </c>
      <c r="I75" s="62" t="inlineStr">
        <is>
          <t>P0-Bắt buộc</t>
        </is>
      </c>
      <c r="J75" s="59" t="inlineStr">
        <is>
          <t>API /ops/drivers</t>
        </is>
      </c>
      <c r="K75" s="62" t="inlineStr">
        <is>
          <t>Chưa bắt đầu</t>
        </is>
      </c>
      <c r="L75" s="64" t="n">
        <v>0</v>
      </c>
      <c r="M75" s="63">
        <f>H75*(1-L75)</f>
        <v/>
      </c>
      <c r="N75" s="62" t="n"/>
      <c r="O75" s="59" t="n"/>
    </row>
    <row r="76" ht="15" customHeight="1" s="38">
      <c r="A76" s="62" t="inlineStr">
        <is>
          <t>P3-04</t>
        </is>
      </c>
      <c r="B76" s="59" t="inlineStr">
        <is>
          <t>P3 - Driver App</t>
        </is>
      </c>
      <c r="C76" s="59" t="inlineStr">
        <is>
          <t>Backend</t>
        </is>
      </c>
      <c r="D76" s="59" t="inlineStr">
        <is>
          <t>Tích hợp eKYC thật (VNPT/FPT.AI) thay mock</t>
        </is>
      </c>
      <c r="E76" s="59" t="inlineStr">
        <is>
          <t>Đối chiếu khuôn mặt và hạn GPLX bằng API thật</t>
        </is>
      </c>
      <c r="F76" s="62" t="inlineStr">
        <is>
          <t>BE</t>
        </is>
      </c>
      <c r="G76" s="59" t="n"/>
      <c r="H76" s="63" t="n">
        <v>4</v>
      </c>
      <c r="I76" s="62" t="inlineStr">
        <is>
          <t>P0-Bắt buộc</t>
        </is>
      </c>
      <c r="J76" s="59" t="n"/>
      <c r="K76" s="62" t="inlineStr">
        <is>
          <t>Chưa bắt đầu</t>
        </is>
      </c>
      <c r="L76" s="64" t="n">
        <v>0</v>
      </c>
      <c r="M76" s="63">
        <f>H76*(1-L76)</f>
        <v/>
      </c>
      <c r="N76" s="62" t="n"/>
      <c r="O76" s="59" t="inlineStr">
        <is>
          <t>integrations/ekyc.py hiện là mock deterministic threshold 0.85</t>
        </is>
      </c>
    </row>
    <row r="77" ht="22.35" customHeight="1" s="38">
      <c r="A77" s="62" t="inlineStr">
        <is>
          <t>P3-05</t>
        </is>
      </c>
      <c r="B77" s="59" t="inlineStr">
        <is>
          <t>P3 - Driver App</t>
        </is>
      </c>
      <c r="C77" s="59" t="inlineStr">
        <is>
          <t>Mobile</t>
        </is>
      </c>
      <c r="D77" s="59" t="inlineStr">
        <is>
          <t>Màn hình ca làm: online/offline, hiển thị QR động, bản đồ nhiệt</t>
        </is>
      </c>
      <c r="E77" s="59" t="inlineStr">
        <is>
          <t>Bật ca là nhận được offer</t>
        </is>
      </c>
      <c r="F77" s="62" t="inlineStr">
        <is>
          <t>MOB</t>
        </is>
      </c>
      <c r="G77" s="59" t="n"/>
      <c r="H77" s="63" t="n">
        <v>4</v>
      </c>
      <c r="I77" s="62" t="inlineStr">
        <is>
          <t>P0-Bắt buộc</t>
        </is>
      </c>
      <c r="J77" s="59" t="inlineStr">
        <is>
          <t>Auth OTP</t>
        </is>
      </c>
      <c r="K77" s="62" t="inlineStr">
        <is>
          <t>Chưa bắt đầu</t>
        </is>
      </c>
      <c r="L77" s="64" t="n">
        <v>0</v>
      </c>
      <c r="M77" s="63">
        <f>H77*(1-L77)</f>
        <v/>
      </c>
      <c r="N77" s="62" t="n"/>
      <c r="O77" s="59" t="inlineStr">
        <is>
          <t>API drivers/me/online + heatmap đã có sẵn ở backend</t>
        </is>
      </c>
    </row>
    <row r="78" ht="22.35" customHeight="1" s="38">
      <c r="A78" s="62" t="inlineStr">
        <is>
          <t>P3-06</t>
        </is>
      </c>
      <c r="B78" s="59" t="inlineStr">
        <is>
          <t>P3 - Driver App</t>
        </is>
      </c>
      <c r="C78" s="59" t="inlineStr">
        <is>
          <t>Mobile</t>
        </is>
      </c>
      <c r="D78" s="59" t="inlineStr">
        <is>
          <t>GPS nền: background task + foreground service (Android) + UIBackgroundModes (iOS)</t>
        </is>
      </c>
      <c r="E78" s="59" t="inlineStr">
        <is>
          <t>Khoá màn hình 30 phút vẫn gửi đủ điểm</t>
        </is>
      </c>
      <c r="F78" s="62" t="inlineStr">
        <is>
          <t>MOB</t>
        </is>
      </c>
      <c r="G78" s="59" t="n"/>
      <c r="H78" s="63" t="n">
        <v>8</v>
      </c>
      <c r="I78" s="62" t="inlineStr">
        <is>
          <t>P0-Bắt buộc</t>
        </is>
      </c>
      <c r="J78" s="59" t="inlineStr">
        <is>
          <t>Màn hình ca làm</t>
        </is>
      </c>
      <c r="K78" s="62" t="inlineStr">
        <is>
          <t>Bị chặn</t>
        </is>
      </c>
      <c r="L78" s="64" t="n">
        <v>0</v>
      </c>
      <c r="M78" s="63">
        <f>H78*(1-L78)</f>
        <v/>
      </c>
      <c r="N78" s="62" t="n"/>
      <c r="O78" s="59" t="inlineStr">
        <is>
          <t>RỦI RO CAO: nếu Expo managed không đáp ứng, phải chuyển sang development build</t>
        </is>
      </c>
    </row>
    <row r="79" ht="15" customHeight="1" s="38">
      <c r="A79" s="62" t="inlineStr">
        <is>
          <t>P3-07</t>
        </is>
      </c>
      <c r="B79" s="59" t="inlineStr">
        <is>
          <t>P3 - Driver App</t>
        </is>
      </c>
      <c r="C79" s="59" t="inlineStr">
        <is>
          <t>Mobile</t>
        </is>
      </c>
      <c r="D79" s="59" t="inlineStr">
        <is>
          <t>Hàng đợi ping offline + gửi bù khi có mạng</t>
        </is>
      </c>
      <c r="E79" s="59" t="inlineStr">
        <is>
          <t>Mất mạng 10 phút không mất điểm GPS nào</t>
        </is>
      </c>
      <c r="F79" s="62" t="inlineStr">
        <is>
          <t>MOB</t>
        </is>
      </c>
      <c r="G79" s="59" t="n"/>
      <c r="H79" s="63" t="n">
        <v>4</v>
      </c>
      <c r="I79" s="62" t="inlineStr">
        <is>
          <t>P0-Bắt buộc</t>
        </is>
      </c>
      <c r="J79" s="59" t="inlineStr">
        <is>
          <t>GPS nền</t>
        </is>
      </c>
      <c r="K79" s="62" t="inlineStr">
        <is>
          <t>Chưa bắt đầu</t>
        </is>
      </c>
      <c r="L79" s="64" t="n">
        <v>0</v>
      </c>
      <c r="M79" s="63">
        <f>H79*(1-L79)</f>
        <v/>
      </c>
      <c r="N79" s="62" t="n"/>
      <c r="O79" s="59" t="inlineStr">
        <is>
          <t>Bắt buộc: GPS thiếu điểm làm sai cước và sai đối soát chạy vòng</t>
        </is>
      </c>
    </row>
    <row r="80" ht="15" customHeight="1" s="38">
      <c r="A80" s="62" t="inlineStr">
        <is>
          <t>P3-08</t>
        </is>
      </c>
      <c r="B80" s="59" t="inlineStr">
        <is>
          <t>P3 - Driver App</t>
        </is>
      </c>
      <c r="C80" s="59" t="inlineStr">
        <is>
          <t>Mobile</t>
        </is>
      </c>
      <c r="D80" s="59" t="inlineStr">
        <is>
          <t>Nhận offer qua WS + push ưu tiên cao khi app bị kill</t>
        </is>
      </c>
      <c r="E80" s="59" t="inlineStr">
        <is>
          <t>Có cuốc là máy kêu trong 5 giây</t>
        </is>
      </c>
      <c r="F80" s="62" t="inlineStr">
        <is>
          <t>MOB</t>
        </is>
      </c>
      <c r="G80" s="59" t="n"/>
      <c r="H80" s="63" t="n">
        <v>5</v>
      </c>
      <c r="I80" s="62" t="inlineStr">
        <is>
          <t>P0-Bắt buộc</t>
        </is>
      </c>
      <c r="J80" s="59" t="inlineStr">
        <is>
          <t>Push FCM</t>
        </is>
      </c>
      <c r="K80" s="62" t="inlineStr">
        <is>
          <t>Chưa bắt đầu</t>
        </is>
      </c>
      <c r="L80" s="64" t="n">
        <v>0</v>
      </c>
      <c r="M80" s="63">
        <f>H80*(1-L80)</f>
        <v/>
      </c>
      <c r="N80" s="62" t="n"/>
      <c r="O80" s="59" t="n"/>
    </row>
    <row r="81" ht="22.35" customHeight="1" s="38">
      <c r="A81" s="62" t="inlineStr">
        <is>
          <t>P3-09</t>
        </is>
      </c>
      <c r="B81" s="59" t="inlineStr">
        <is>
          <t>P3 - Driver App</t>
        </is>
      </c>
      <c r="C81" s="59" t="inlineStr">
        <is>
          <t>Mobile</t>
        </is>
      </c>
      <c r="D81" s="59" t="inlineStr">
        <is>
          <t>Điều hướng đến điểm đón/đến (Goong hoặc Mapbox SDK)</t>
        </is>
      </c>
      <c r="E81" s="59" t="inlineStr">
        <is>
          <t>Chỉ đường turn-by-turn hoạt động</t>
        </is>
      </c>
      <c r="F81" s="62" t="inlineStr">
        <is>
          <t>MOB</t>
        </is>
      </c>
      <c r="G81" s="59" t="n"/>
      <c r="H81" s="63" t="n">
        <v>4</v>
      </c>
      <c r="I81" s="62" t="inlineStr">
        <is>
          <t>P0-Bắt buộc</t>
        </is>
      </c>
      <c r="J81" s="59" t="inlineStr">
        <is>
          <t>Expo scaffold</t>
        </is>
      </c>
      <c r="K81" s="62" t="inlineStr">
        <is>
          <t>Chưa bắt đầu</t>
        </is>
      </c>
      <c r="L81" s="64" t="n">
        <v>0</v>
      </c>
      <c r="M81" s="63">
        <f>H81*(1-L81)</f>
        <v/>
      </c>
      <c r="N81" s="62" t="n"/>
      <c r="O81" s="59" t="inlineStr">
        <is>
          <t>Cần chốt nhà cung cấp bản đồ trước khi làm</t>
        </is>
      </c>
    </row>
    <row r="82" ht="22.35" customHeight="1" s="38">
      <c r="A82" s="62" t="inlineStr">
        <is>
          <t>P3-10</t>
        </is>
      </c>
      <c r="B82" s="59" t="inlineStr">
        <is>
          <t>P3 - Driver App</t>
        </is>
      </c>
      <c r="C82" s="59" t="inlineStr">
        <is>
          <t>Mobile</t>
        </is>
      </c>
      <c r="D82" s="59" t="inlineStr">
        <is>
          <t>Màn hình đang chạy chuyến + xác nhận kết thúc trong bán kính 300m</t>
        </is>
      </c>
      <c r="E82" s="59" t="inlineStr">
        <is>
          <t>Kết thúc chuyến ra đúng cước và số ký quỹ đã trích</t>
        </is>
      </c>
      <c r="F82" s="62" t="inlineStr">
        <is>
          <t>MOB</t>
        </is>
      </c>
      <c r="G82" s="59" t="n"/>
      <c r="H82" s="63" t="n">
        <v>4</v>
      </c>
      <c r="I82" s="62" t="inlineStr">
        <is>
          <t>P0-Bắt buộc</t>
        </is>
      </c>
      <c r="J82" s="59" t="inlineStr">
        <is>
          <t>GPS nền</t>
        </is>
      </c>
      <c r="K82" s="62" t="inlineStr">
        <is>
          <t>Chưa bắt đầu</t>
        </is>
      </c>
      <c r="L82" s="64" t="n">
        <v>0</v>
      </c>
      <c r="M82" s="63">
        <f>H82*(1-L82)</f>
        <v/>
      </c>
      <c r="N82" s="62" t="n"/>
      <c r="O82" s="59" t="inlineStr">
        <is>
          <t>Logic backend đã xong và có test</t>
        </is>
      </c>
    </row>
    <row r="83" ht="15" customHeight="1" s="38">
      <c r="A83" s="62" t="inlineStr">
        <is>
          <t>P3-11</t>
        </is>
      </c>
      <c r="B83" s="59" t="inlineStr">
        <is>
          <t>P3 - Driver App</t>
        </is>
      </c>
      <c r="C83" s="59" t="inlineStr">
        <is>
          <t>Mobile</t>
        </is>
      </c>
      <c r="D83" s="59" t="inlineStr">
        <is>
          <t>Selfie ngẫu nhiên 30-90 phút/phiên</t>
        </is>
      </c>
      <c r="E83" s="59" t="inlineStr">
        <is>
          <t>Không selfie đúng hạn thì không nhận được cuốc mới</t>
        </is>
      </c>
      <c r="F83" s="62" t="inlineStr">
        <is>
          <t>MOB</t>
        </is>
      </c>
      <c r="G83" s="59" t="n"/>
      <c r="H83" s="63" t="n">
        <v>3</v>
      </c>
      <c r="I83" s="62" t="inlineStr">
        <is>
          <t>P0-Bắt buộc</t>
        </is>
      </c>
      <c r="J83" s="59" t="inlineStr">
        <is>
          <t>Màn hình ca làm</t>
        </is>
      </c>
      <c r="K83" s="62" t="inlineStr">
        <is>
          <t>Chưa bắt đầu</t>
        </is>
      </c>
      <c r="L83" s="64" t="n">
        <v>0</v>
      </c>
      <c r="M83" s="63">
        <f>H83*(1-L83)</f>
        <v/>
      </c>
      <c r="N83" s="62" t="n"/>
      <c r="O83" s="59" t="n"/>
    </row>
    <row r="84" ht="15" customHeight="1" s="38">
      <c r="A84" s="62" t="inlineStr">
        <is>
          <t>P3-12</t>
        </is>
      </c>
      <c r="B84" s="59" t="inlineStr">
        <is>
          <t>P3 - Driver App</t>
        </is>
      </c>
      <c r="C84" s="59" t="inlineStr">
        <is>
          <t>Mobile</t>
        </is>
      </c>
      <c r="D84" s="59" t="inlineStr">
        <is>
          <t>Ví, ký quỹ, lịch sử trích, yêu cầu rút tiền</t>
        </is>
      </c>
      <c r="E84" s="59" t="inlineStr">
        <is>
          <t>Số dư khớp với backend; rút tiền tạo lệnh chờ duyệt</t>
        </is>
      </c>
      <c r="F84" s="62" t="inlineStr">
        <is>
          <t>MOB</t>
        </is>
      </c>
      <c r="G84" s="59" t="n"/>
      <c r="H84" s="63" t="n">
        <v>5</v>
      </c>
      <c r="I84" s="62" t="inlineStr">
        <is>
          <t>P0-Bắt buộc</t>
        </is>
      </c>
      <c r="J84" s="59" t="inlineStr">
        <is>
          <t>Auth OTP</t>
        </is>
      </c>
      <c r="K84" s="62" t="inlineStr">
        <is>
          <t>Chưa bắt đầu</t>
        </is>
      </c>
      <c r="L84" s="64" t="n">
        <v>0</v>
      </c>
      <c r="M84" s="63">
        <f>H84*(1-L84)</f>
        <v/>
      </c>
      <c r="N84" s="62" t="n"/>
      <c r="O84" s="59" t="n"/>
    </row>
    <row r="85" ht="15" customHeight="1" s="38">
      <c r="A85" s="62" t="inlineStr">
        <is>
          <t>P3-13</t>
        </is>
      </c>
      <c r="B85" s="59" t="inlineStr">
        <is>
          <t>P3 - Driver App</t>
        </is>
      </c>
      <c r="C85" s="59" t="inlineStr">
        <is>
          <t>Mobile</t>
        </is>
      </c>
      <c r="D85" s="59" t="inlineStr">
        <is>
          <t>Chat với khách + với CSKH</t>
        </is>
      </c>
      <c r="E85" s="59" t="inlineStr">
        <is>
          <t>Nhắn được cả khi app ở nền (qua push)</t>
        </is>
      </c>
      <c r="F85" s="62" t="inlineStr">
        <is>
          <t>MOB</t>
        </is>
      </c>
      <c r="G85" s="59" t="n"/>
      <c r="H85" s="63" t="n">
        <v>4</v>
      </c>
      <c r="I85" s="62" t="inlineStr">
        <is>
          <t>P0-Bắt buộc</t>
        </is>
      </c>
      <c r="J85" s="59" t="inlineStr">
        <is>
          <t>realtime-client</t>
        </is>
      </c>
      <c r="K85" s="62" t="inlineStr">
        <is>
          <t>Chưa bắt đầu</t>
        </is>
      </c>
      <c r="L85" s="64" t="n">
        <v>0</v>
      </c>
      <c r="M85" s="63">
        <f>H85*(1-L85)</f>
        <v/>
      </c>
      <c r="N85" s="62" t="n"/>
      <c r="O85" s="59" t="n"/>
    </row>
    <row r="86" ht="22.35" customHeight="1" s="38">
      <c r="A86" s="62" t="inlineStr">
        <is>
          <t>P3-14</t>
        </is>
      </c>
      <c r="B86" s="59" t="inlineStr">
        <is>
          <t>P3 - Driver App</t>
        </is>
      </c>
      <c r="C86" s="59" t="inlineStr">
        <is>
          <t>Mobile</t>
        </is>
      </c>
      <c r="D86" s="59" t="inlineStr">
        <is>
          <t>Hỗ trợ: mở ticket, xem quyết định xử lý gian lận, khiếu nại phạt</t>
        </is>
      </c>
      <c r="E86" s="59" t="inlineStr">
        <is>
          <t>Tài xế khiếu nại được 1 khoản phạt</t>
        </is>
      </c>
      <c r="F86" s="62" t="inlineStr">
        <is>
          <t>MOB</t>
        </is>
      </c>
      <c r="G86" s="59" t="n"/>
      <c r="H86" s="63" t="n">
        <v>3</v>
      </c>
      <c r="I86" s="62" t="inlineStr">
        <is>
          <t>P1-Cao</t>
        </is>
      </c>
      <c r="J86" s="59" t="inlineStr">
        <is>
          <t>domains/support</t>
        </is>
      </c>
      <c r="K86" s="62" t="inlineStr">
        <is>
          <t>Chưa bắt đầu</t>
        </is>
      </c>
      <c r="L86" s="64" t="n">
        <v>0</v>
      </c>
      <c r="M86" s="63">
        <f>H86*(1-L86)</f>
        <v/>
      </c>
      <c r="N86" s="62" t="n"/>
      <c r="O86" s="59" t="n"/>
    </row>
    <row r="87" ht="15" customHeight="1" s="38">
      <c r="A87" s="62" t="inlineStr">
        <is>
          <t>P3-15</t>
        </is>
      </c>
      <c r="B87" s="59" t="inlineStr">
        <is>
          <t>P3 - Driver App</t>
        </is>
      </c>
      <c r="C87" s="59" t="inlineStr">
        <is>
          <t>Mobile</t>
        </is>
      </c>
      <c r="D87" s="59" t="inlineStr">
        <is>
          <t>Tối ưu pin: tần suất ping thích ứng 3s/10s/60s</t>
        </is>
      </c>
      <c r="E87" s="59" t="inlineStr">
        <is>
          <t>Chạy ca 8 giờ tiêu hao pin ở mức chấp nhận được</t>
        </is>
      </c>
      <c r="F87" s="62" t="inlineStr">
        <is>
          <t>MOB</t>
        </is>
      </c>
      <c r="G87" s="59" t="n"/>
      <c r="H87" s="63" t="n">
        <v>4</v>
      </c>
      <c r="I87" s="62" t="inlineStr">
        <is>
          <t>P0-Bắt buộc</t>
        </is>
      </c>
      <c r="J87" s="59" t="inlineStr">
        <is>
          <t>GPS nền</t>
        </is>
      </c>
      <c r="K87" s="62" t="inlineStr">
        <is>
          <t>Chưa bắt đầu</t>
        </is>
      </c>
      <c r="L87" s="64" t="n">
        <v>0</v>
      </c>
      <c r="M87" s="63">
        <f>H87*(1-L87)</f>
        <v/>
      </c>
      <c r="N87" s="62" t="n"/>
      <c r="O87" s="59" t="n"/>
    </row>
    <row r="88" ht="15" customHeight="1" s="38">
      <c r="A88" s="62" t="inlineStr">
        <is>
          <t>P3-16</t>
        </is>
      </c>
      <c r="B88" s="59" t="inlineStr">
        <is>
          <t>P3 - Driver App</t>
        </is>
      </c>
      <c r="C88" s="59" t="inlineStr">
        <is>
          <t>Backend</t>
        </is>
      </c>
      <c r="D88" s="59" t="inlineStr">
        <is>
          <t>Hoàn thiện API /driver/* theo bề mặt mới</t>
        </is>
      </c>
      <c r="E88" s="59" t="inlineStr">
        <is>
          <t>App tài xế chỉ gọi /driver/*</t>
        </is>
      </c>
      <c r="F88" s="62" t="inlineStr">
        <is>
          <t>BE</t>
        </is>
      </c>
      <c r="G88" s="59" t="n"/>
      <c r="H88" s="63" t="n">
        <v>4</v>
      </c>
      <c r="I88" s="62" t="inlineStr">
        <is>
          <t>P0-Bắt buộc</t>
        </is>
      </c>
      <c r="J88" s="59" t="inlineStr">
        <is>
          <t>Tách router</t>
        </is>
      </c>
      <c r="K88" s="62" t="inlineStr">
        <is>
          <t>Chưa bắt đầu</t>
        </is>
      </c>
      <c r="L88" s="64" t="n">
        <v>0</v>
      </c>
      <c r="M88" s="63">
        <f>H88*(1-L88)</f>
        <v/>
      </c>
      <c r="N88" s="62" t="n"/>
      <c r="O88" s="59" t="n"/>
    </row>
    <row r="89" ht="15" customHeight="1" s="38">
      <c r="A89" s="62" t="inlineStr">
        <is>
          <t>P3-17</t>
        </is>
      </c>
      <c r="B89" s="59" t="inlineStr">
        <is>
          <t>P3 - Driver App</t>
        </is>
      </c>
      <c r="C89" s="59" t="inlineStr">
        <is>
          <t>Mobile</t>
        </is>
      </c>
      <c r="D89" s="59" t="inlineStr">
        <is>
          <t>Build &amp; phát hành nội bộ (TestFlight + Play Internal)</t>
        </is>
      </c>
      <c r="E89" s="59" t="inlineStr">
        <is>
          <t>50 tài xế tiên phong cài được</t>
        </is>
      </c>
      <c r="F89" s="62" t="inlineStr">
        <is>
          <t>MOB</t>
        </is>
      </c>
      <c r="G89" s="59" t="n"/>
      <c r="H89" s="63" t="n">
        <v>3</v>
      </c>
      <c r="I89" s="62" t="inlineStr">
        <is>
          <t>P0-Bắt buộc</t>
        </is>
      </c>
      <c r="J89" s="59" t="inlineStr">
        <is>
          <t>Các màn hình chính</t>
        </is>
      </c>
      <c r="K89" s="62" t="inlineStr">
        <is>
          <t>Chưa bắt đầu</t>
        </is>
      </c>
      <c r="L89" s="64" t="n">
        <v>0</v>
      </c>
      <c r="M89" s="63">
        <f>H89*(1-L89)</f>
        <v/>
      </c>
      <c r="N89" s="62" t="n"/>
      <c r="O89" s="59" t="n"/>
    </row>
    <row r="90" ht="22.35" customHeight="1" s="38">
      <c r="A90" s="62" t="inlineStr">
        <is>
          <t>P3-18</t>
        </is>
      </c>
      <c r="B90" s="59" t="inlineStr">
        <is>
          <t>P3 - Driver App</t>
        </is>
      </c>
      <c r="C90" s="59" t="inlineStr">
        <is>
          <t>QA</t>
        </is>
      </c>
      <c r="D90" s="59" t="inlineStr">
        <is>
          <t>Kiểm thử máy thật: mất mạng, khoá màn hình, pin yếu, đổi SIM</t>
        </is>
      </c>
      <c r="E90" s="59" t="inlineStr">
        <is>
          <t>Chạy 20 chuyến thử không lỗi nghiêm trọng</t>
        </is>
      </c>
      <c r="F90" s="62" t="inlineStr">
        <is>
          <t>FE</t>
        </is>
      </c>
      <c r="G90" s="59" t="n"/>
      <c r="H90" s="63" t="n">
        <v>5</v>
      </c>
      <c r="I90" s="62" t="inlineStr">
        <is>
          <t>P0-Bắt buộc</t>
        </is>
      </c>
      <c r="J90" s="59" t="inlineStr">
        <is>
          <t>Build nội bộ</t>
        </is>
      </c>
      <c r="K90" s="62" t="inlineStr">
        <is>
          <t>Chưa bắt đầu</t>
        </is>
      </c>
      <c r="L90" s="64" t="n">
        <v>0</v>
      </c>
      <c r="M90" s="63">
        <f>H90*(1-L90)</f>
        <v/>
      </c>
      <c r="N90" s="62" t="n"/>
      <c r="O90" s="59" t="n"/>
    </row>
    <row r="91" ht="22.35" customHeight="1" s="38">
      <c r="A91" s="62" t="inlineStr">
        <is>
          <t>P4-01</t>
        </is>
      </c>
      <c r="B91" s="59" t="inlineStr">
        <is>
          <t>P4 - Rider App</t>
        </is>
      </c>
      <c r="C91" s="59" t="inlineStr">
        <is>
          <t>Mobile</t>
        </is>
      </c>
      <c r="D91" s="59" t="inlineStr">
        <is>
          <t>Expo scaffold app khách (dùng lại packages/ui + realtime-client)</t>
        </is>
      </c>
      <c r="E91" s="59" t="inlineStr">
        <is>
          <t>Chạy trên máy thật, tái dùng ≥50% hạ tầng app tài xế</t>
        </is>
      </c>
      <c r="F91" s="62" t="inlineStr">
        <is>
          <t>MOB</t>
        </is>
      </c>
      <c r="G91" s="59" t="n"/>
      <c r="H91" s="63" t="n">
        <v>3</v>
      </c>
      <c r="I91" s="62" t="inlineStr">
        <is>
          <t>P0-Bắt buộc</t>
        </is>
      </c>
      <c r="J91" s="59" t="inlineStr">
        <is>
          <t>P3 xong</t>
        </is>
      </c>
      <c r="K91" s="62" t="inlineStr">
        <is>
          <t>Chưa bắt đầu</t>
        </is>
      </c>
      <c r="L91" s="64" t="n">
        <v>0</v>
      </c>
      <c r="M91" s="63">
        <f>H91*(1-L91)</f>
        <v/>
      </c>
      <c r="N91" s="62" t="n"/>
      <c r="O91" s="59" t="n"/>
    </row>
    <row r="92" ht="15" customHeight="1" s="38">
      <c r="A92" s="62" t="inlineStr">
        <is>
          <t>P4-02</t>
        </is>
      </c>
      <c r="B92" s="59" t="inlineStr">
        <is>
          <t>P4 - Rider App</t>
        </is>
      </c>
      <c r="C92" s="59" t="inlineStr">
        <is>
          <t>Mobile</t>
        </is>
      </c>
      <c r="D92" s="59" t="inlineStr">
        <is>
          <t>Auth OTP + hồ sơ + người liên hệ khẩn cấp</t>
        </is>
      </c>
      <c r="E92" s="59" t="inlineStr">
        <is>
          <t>Đăng nhập và sửa hồ sơ</t>
        </is>
      </c>
      <c r="F92" s="62" t="inlineStr">
        <is>
          <t>MOB</t>
        </is>
      </c>
      <c r="G92" s="59" t="n"/>
      <c r="H92" s="63" t="n">
        <v>2</v>
      </c>
      <c r="I92" s="62" t="inlineStr">
        <is>
          <t>P0-Bắt buộc</t>
        </is>
      </c>
      <c r="J92" s="59" t="inlineStr">
        <is>
          <t>Rider scaffold</t>
        </is>
      </c>
      <c r="K92" s="62" t="inlineStr">
        <is>
          <t>Chưa bắt đầu</t>
        </is>
      </c>
      <c r="L92" s="64" t="n">
        <v>0</v>
      </c>
      <c r="M92" s="63">
        <f>H92*(1-L92)</f>
        <v/>
      </c>
      <c r="N92" s="62" t="n"/>
      <c r="O92" s="59" t="n"/>
    </row>
    <row r="93" ht="22.35" customHeight="1" s="38">
      <c r="A93" s="62" t="inlineStr">
        <is>
          <t>P4-03</t>
        </is>
      </c>
      <c r="B93" s="59" t="inlineStr">
        <is>
          <t>P4 - Rider App</t>
        </is>
      </c>
      <c r="C93" s="59" t="inlineStr">
        <is>
          <t>Mobile</t>
        </is>
      </c>
      <c r="D93" s="59" t="inlineStr">
        <is>
          <t>Đặt xe: chọn điểm đón/đến, gợi ý địa chỉ, xem giá ước tính tách khoản</t>
        </is>
      </c>
      <c r="E93" s="59" t="inlineStr">
        <is>
          <t>Thấy rõ phí nền / km / phút / phụ thu đón xa</t>
        </is>
      </c>
      <c r="F93" s="62" t="inlineStr">
        <is>
          <t>MOB</t>
        </is>
      </c>
      <c r="G93" s="59" t="n"/>
      <c r="H93" s="63" t="n">
        <v>6</v>
      </c>
      <c r="I93" s="62" t="inlineStr">
        <is>
          <t>P0-Bắt buộc</t>
        </is>
      </c>
      <c r="J93" s="59" t="inlineStr">
        <is>
          <t>Rider scaffold</t>
        </is>
      </c>
      <c r="K93" s="62" t="inlineStr">
        <is>
          <t>Chưa bắt đầu</t>
        </is>
      </c>
      <c r="L93" s="64" t="n">
        <v>0</v>
      </c>
      <c r="M93" s="63">
        <f>H93*(1-L93)</f>
        <v/>
      </c>
      <c r="N93" s="62" t="n"/>
      <c r="O93" s="59" t="inlineStr">
        <is>
          <t>API /pricing/estimate đã có và có test đầy đủ</t>
        </is>
      </c>
    </row>
    <row r="94" ht="15" customHeight="1" s="38">
      <c r="A94" s="62" t="inlineStr">
        <is>
          <t>P4-04</t>
        </is>
      </c>
      <c r="B94" s="59" t="inlineStr">
        <is>
          <t>P4 - Rider App</t>
        </is>
      </c>
      <c r="C94" s="59" t="inlineStr">
        <is>
          <t>Mobile</t>
        </is>
      </c>
      <c r="D94" s="59" t="inlineStr">
        <is>
          <t>Theo dõi tài xế real-time + ETA trên bản đồ</t>
        </is>
      </c>
      <c r="E94" s="59" t="inlineStr">
        <is>
          <t>Vị trí cập nhật mượt, mất WS vẫn tự phục hồi</t>
        </is>
      </c>
      <c r="F94" s="62" t="inlineStr">
        <is>
          <t>MOB</t>
        </is>
      </c>
      <c r="G94" s="59" t="n"/>
      <c r="H94" s="63" t="n">
        <v>5</v>
      </c>
      <c r="I94" s="62" t="inlineStr">
        <is>
          <t>P0-Bắt buộc</t>
        </is>
      </c>
      <c r="J94" s="59" t="inlineStr">
        <is>
          <t>realtime-client</t>
        </is>
      </c>
      <c r="K94" s="62" t="inlineStr">
        <is>
          <t>Chưa bắt đầu</t>
        </is>
      </c>
      <c r="L94" s="64" t="n">
        <v>0</v>
      </c>
      <c r="M94" s="63">
        <f>H94*(1-L94)</f>
        <v/>
      </c>
      <c r="N94" s="62" t="n"/>
      <c r="O94" s="59" t="n"/>
    </row>
    <row r="95" ht="15" customHeight="1" s="38">
      <c r="A95" s="62" t="inlineStr">
        <is>
          <t>P4-05</t>
        </is>
      </c>
      <c r="B95" s="59" t="inlineStr">
        <is>
          <t>P4 - Rider App</t>
        </is>
      </c>
      <c r="C95" s="59" t="inlineStr">
        <is>
          <t>Mobile</t>
        </is>
      </c>
      <c r="D95" s="59" t="inlineStr">
        <is>
          <t>Quét QR tài xế để bắt đầu chuyến</t>
        </is>
      </c>
      <c r="E95" s="59" t="inlineStr">
        <is>
          <t>Quét sai QR bị từ chối, không đổi trạng thái chuyến</t>
        </is>
      </c>
      <c r="F95" s="62" t="inlineStr">
        <is>
          <t>MOB</t>
        </is>
      </c>
      <c r="G95" s="59" t="n"/>
      <c r="H95" s="63" t="n">
        <v>2</v>
      </c>
      <c r="I95" s="62" t="inlineStr">
        <is>
          <t>P0-Bắt buộc</t>
        </is>
      </c>
      <c r="J95" s="59" t="inlineStr">
        <is>
          <t>Rider scaffold</t>
        </is>
      </c>
      <c r="K95" s="62" t="inlineStr">
        <is>
          <t>Chưa bắt đầu</t>
        </is>
      </c>
      <c r="L95" s="64" t="n">
        <v>0</v>
      </c>
      <c r="M95" s="63">
        <f>H95*(1-L95)</f>
        <v/>
      </c>
      <c r="N95" s="62" t="n"/>
      <c r="O95" s="59" t="inlineStr">
        <is>
          <t>Logic backend đã xong: in_progress chỉ đến được từ qr_verified</t>
        </is>
      </c>
    </row>
    <row r="96" ht="22.35" customHeight="1" s="38">
      <c r="A96" s="62" t="inlineStr">
        <is>
          <t>P4-06</t>
        </is>
      </c>
      <c r="B96" s="59" t="inlineStr">
        <is>
          <t>P4 - Rider App</t>
        </is>
      </c>
      <c r="C96" s="59" t="inlineStr">
        <is>
          <t>Mobile</t>
        </is>
      </c>
      <c r="D96" s="59" t="inlineStr">
        <is>
          <t>Thanh toán: liên kết thẻ/ví, chọn phương thức, xem giao dịch</t>
        </is>
      </c>
      <c r="E96" s="59" t="inlineStr">
        <is>
          <t>Thanh toán 1 chuyến thật qua cổng</t>
        </is>
      </c>
      <c r="F96" s="62" t="inlineStr">
        <is>
          <t>MOB</t>
        </is>
      </c>
      <c r="G96" s="59" t="n"/>
      <c r="H96" s="63" t="n">
        <v>5</v>
      </c>
      <c r="I96" s="62" t="inlineStr">
        <is>
          <t>P0-Bắt buộc</t>
        </is>
      </c>
      <c r="J96" s="59" t="inlineStr">
        <is>
          <t>Tích hợp VNPay</t>
        </is>
      </c>
      <c r="K96" s="62" t="inlineStr">
        <is>
          <t>Chưa bắt đầu</t>
        </is>
      </c>
      <c r="L96" s="64" t="n">
        <v>0</v>
      </c>
      <c r="M96" s="63">
        <f>H96*(1-L96)</f>
        <v/>
      </c>
      <c r="N96" s="62" t="n"/>
      <c r="O96" s="59" t="n"/>
    </row>
    <row r="97" ht="15" customHeight="1" s="38">
      <c r="A97" s="62" t="inlineStr">
        <is>
          <t>P4-07</t>
        </is>
      </c>
      <c r="B97" s="59" t="inlineStr">
        <is>
          <t>P4 - Rider App</t>
        </is>
      </c>
      <c r="C97" s="59" t="inlineStr">
        <is>
          <t>Mobile</t>
        </is>
      </c>
      <c r="D97" s="59" t="inlineStr">
        <is>
          <t>Chia sẻ hành trình (link công khai có hạn) + nút SOS</t>
        </is>
      </c>
      <c r="E97" s="59" t="inlineStr">
        <is>
          <t>Người thân mở link thấy vị trí, không thấy SĐT</t>
        </is>
      </c>
      <c r="F97" s="62" t="inlineStr">
        <is>
          <t>MOB</t>
        </is>
      </c>
      <c r="G97" s="59" t="n"/>
      <c r="H97" s="63" t="n">
        <v>4</v>
      </c>
      <c r="I97" s="62" t="inlineStr">
        <is>
          <t>P0-Bắt buộc</t>
        </is>
      </c>
      <c r="J97" s="59" t="inlineStr">
        <is>
          <t>API /public/*</t>
        </is>
      </c>
      <c r="K97" s="62" t="inlineStr">
        <is>
          <t>Chưa bắt đầu</t>
        </is>
      </c>
      <c r="L97" s="64" t="n">
        <v>0</v>
      </c>
      <c r="M97" s="63">
        <f>H97*(1-L97)</f>
        <v/>
      </c>
      <c r="N97" s="62" t="n"/>
      <c r="O97" s="59" t="n"/>
    </row>
    <row r="98" ht="15" customHeight="1" s="38">
      <c r="A98" s="62" t="inlineStr">
        <is>
          <t>P4-08</t>
        </is>
      </c>
      <c r="B98" s="59" t="inlineStr">
        <is>
          <t>P4 - Rider App</t>
        </is>
      </c>
      <c r="C98" s="59" t="inlineStr">
        <is>
          <t>Mobile</t>
        </is>
      </c>
      <c r="D98" s="59" t="inlineStr">
        <is>
          <t>Chat với tài xế + với CSKH</t>
        </is>
      </c>
      <c r="E98" s="59" t="inlineStr">
        <is>
          <t>Nhắn trong chuyến và mở hỗ trợ bất kỳ lúc nào</t>
        </is>
      </c>
      <c r="F98" s="62" t="inlineStr">
        <is>
          <t>MOB</t>
        </is>
      </c>
      <c r="G98" s="59" t="n"/>
      <c r="H98" s="63" t="n">
        <v>3</v>
      </c>
      <c r="I98" s="62" t="inlineStr">
        <is>
          <t>P0-Bắt buộc</t>
        </is>
      </c>
      <c r="J98" s="59" t="inlineStr">
        <is>
          <t>realtime-client</t>
        </is>
      </c>
      <c r="K98" s="62" t="inlineStr">
        <is>
          <t>Chưa bắt đầu</t>
        </is>
      </c>
      <c r="L98" s="64" t="n">
        <v>0</v>
      </c>
      <c r="M98" s="63">
        <f>H98*(1-L98)</f>
        <v/>
      </c>
      <c r="N98" s="62" t="n"/>
      <c r="O98" s="59" t="n"/>
    </row>
    <row r="99" ht="15" customHeight="1" s="38">
      <c r="A99" s="62" t="inlineStr">
        <is>
          <t>P4-09</t>
        </is>
      </c>
      <c r="B99" s="59" t="inlineStr">
        <is>
          <t>P4 - Rider App</t>
        </is>
      </c>
      <c r="C99" s="59" t="inlineStr">
        <is>
          <t>Mobile</t>
        </is>
      </c>
      <c r="D99" s="59" t="inlineStr">
        <is>
          <t>Lịch sử chuyến, hoá đơn, đánh giá tài xế</t>
        </is>
      </c>
      <c r="E99" s="59" t="inlineStr">
        <is>
          <t>Xem lại chuyến cũ và tải hoá đơn</t>
        </is>
      </c>
      <c r="F99" s="62" t="inlineStr">
        <is>
          <t>MOB</t>
        </is>
      </c>
      <c r="G99" s="59" t="n"/>
      <c r="H99" s="63" t="n">
        <v>4</v>
      </c>
      <c r="I99" s="62" t="inlineStr">
        <is>
          <t>P1-Cao</t>
        </is>
      </c>
      <c r="J99" s="59" t="inlineStr">
        <is>
          <t>API /rider/*</t>
        </is>
      </c>
      <c r="K99" s="62" t="inlineStr">
        <is>
          <t>Chưa bắt đầu</t>
        </is>
      </c>
      <c r="L99" s="64" t="n">
        <v>0</v>
      </c>
      <c r="M99" s="63">
        <f>H99*(1-L99)</f>
        <v/>
      </c>
      <c r="N99" s="62" t="n"/>
      <c r="O99" s="59" t="n"/>
    </row>
    <row r="100" ht="15" customHeight="1" s="38">
      <c r="A100" s="62" t="inlineStr">
        <is>
          <t>P4-10</t>
        </is>
      </c>
      <c r="B100" s="59" t="inlineStr">
        <is>
          <t>P4 - Rider App</t>
        </is>
      </c>
      <c r="C100" s="59" t="inlineStr">
        <is>
          <t>Mobile</t>
        </is>
      </c>
      <c r="D100" s="59" t="inlineStr">
        <is>
          <t>Khuyến mãi + deep link QR bàn nhà hàng đối tác</t>
        </is>
      </c>
      <c r="E100" s="59" t="inlineStr">
        <is>
          <t>Quét QR bàn mở app với điểm đón là nhà hàng</t>
        </is>
      </c>
      <c r="F100" s="62" t="inlineStr">
        <is>
          <t>MOB</t>
        </is>
      </c>
      <c r="G100" s="59" t="n"/>
      <c r="H100" s="63" t="n">
        <v>3</v>
      </c>
      <c r="I100" s="62" t="inlineStr">
        <is>
          <t>P1-Cao</t>
        </is>
      </c>
      <c r="J100" s="59" t="inlineStr">
        <is>
          <t>API /partner/*</t>
        </is>
      </c>
      <c r="K100" s="62" t="inlineStr">
        <is>
          <t>Chưa bắt đầu</t>
        </is>
      </c>
      <c r="L100" s="64" t="n">
        <v>0</v>
      </c>
      <c r="M100" s="63">
        <f>H100*(1-L100)</f>
        <v/>
      </c>
      <c r="N100" s="62" t="n"/>
      <c r="O100" s="59" t="inlineStr">
        <is>
          <t>Backend đã có GET /partners/qr/{token} và logic gán partner_id</t>
        </is>
      </c>
    </row>
    <row r="101" ht="22.35" customHeight="1" s="38">
      <c r="A101" s="62" t="inlineStr">
        <is>
          <t>P4-11</t>
        </is>
      </c>
      <c r="B101" s="59" t="inlineStr">
        <is>
          <t>P4 - Rider App</t>
        </is>
      </c>
      <c r="C101" s="59" t="inlineStr">
        <is>
          <t>Backend</t>
        </is>
      </c>
      <c r="D101" s="59" t="inlineStr">
        <is>
          <t>Hoàn thiện API /rider/* + bổ sung GET /rider/trips (danh sách)</t>
        </is>
      </c>
      <c r="E101" s="59" t="inlineStr">
        <is>
          <t>App khách chỉ gọi /rider/*</t>
        </is>
      </c>
      <c r="F101" s="62" t="inlineStr">
        <is>
          <t>BE</t>
        </is>
      </c>
      <c r="G101" s="59" t="n"/>
      <c r="H101" s="63" t="n">
        <v>3</v>
      </c>
      <c r="I101" s="62" t="inlineStr">
        <is>
          <t>P0-Bắt buộc</t>
        </is>
      </c>
      <c r="J101" s="59" t="inlineStr">
        <is>
          <t>Tách router</t>
        </is>
      </c>
      <c r="K101" s="62" t="inlineStr">
        <is>
          <t>Đang làm</t>
        </is>
      </c>
      <c r="L101" s="64" t="n">
        <v>0.5</v>
      </c>
      <c r="M101" s="63">
        <f>H101*(1-L101)</f>
        <v/>
      </c>
      <c r="N101" s="62" t="n"/>
      <c r="O101" s="59" t="inlineStr">
        <is>
          <t>03/09: đã có GET /trips (danh sách), /trips/{id}/rate, /arrived, /events. Còn: tách router theo audience /rider/* — phụ thuộc P1-08.</t>
        </is>
      </c>
    </row>
    <row r="102" ht="22.35" customHeight="1" s="38">
      <c r="A102" s="62" t="inlineStr">
        <is>
          <t>P4-12</t>
        </is>
      </c>
      <c r="B102" s="59" t="inlineStr">
        <is>
          <t>P4 - Rider App</t>
        </is>
      </c>
      <c r="C102" s="59" t="inlineStr">
        <is>
          <t>Frontend</t>
        </is>
      </c>
      <c r="D102" s="59" t="inlineStr">
        <is>
          <t>Xử lý goan-customer-app: chuyển thành web đặt xe hoặc gỡ bỏ</t>
        </is>
      </c>
      <c r="E102" s="59" t="inlineStr">
        <is>
          <t>Không còn code trỏ sai endpoint tồn tại trong repo</t>
        </is>
      </c>
      <c r="F102" s="62" t="inlineStr">
        <is>
          <t>FE</t>
        </is>
      </c>
      <c r="G102" s="59" t="n"/>
      <c r="H102" s="63" t="n">
        <v>3</v>
      </c>
      <c r="I102" s="62" t="inlineStr">
        <is>
          <t>P1-Cao</t>
        </is>
      </c>
      <c r="J102" s="59" t="inlineStr">
        <is>
          <t>packages/api-client</t>
        </is>
      </c>
      <c r="K102" s="62" t="inlineStr">
        <is>
          <t>Đã xong</t>
        </is>
      </c>
      <c r="L102" s="64" t="n">
        <v>1</v>
      </c>
      <c r="M102" s="63">
        <f>H102*(1-L102)</f>
        <v/>
      </c>
      <c r="N102" s="62" t="n"/>
      <c r="O102" s="59" t="inlineStr">
        <is>
          <t>03/09 XONG (49f623b): viết lại tầng API app khách. 9/9 đường dẫn khớp openapi.json, rà soát API 62/62 lời gọi đạt. Tự làm mới token khi 401, một lần refresh tại một thời điểm.</t>
        </is>
      </c>
    </row>
    <row r="103" ht="22.35" customHeight="1" s="38">
      <c r="A103" s="62" t="inlineStr">
        <is>
          <t>P4-13</t>
        </is>
      </c>
      <c r="B103" s="59" t="inlineStr">
        <is>
          <t>P4 - Rider App</t>
        </is>
      </c>
      <c r="C103" s="59" t="inlineStr">
        <is>
          <t>QA</t>
        </is>
      </c>
      <c r="D103" s="59" t="inlineStr">
        <is>
          <t>Kiểm thử end-to-end: đặt - ghép - QR - chạy - trả tiền - đánh giá</t>
        </is>
      </c>
      <c r="E103" s="59" t="inlineStr">
        <is>
          <t>10 chuyến thật trôi chảy trên staging</t>
        </is>
      </c>
      <c r="F103" s="62" t="inlineStr">
        <is>
          <t>FE</t>
        </is>
      </c>
      <c r="G103" s="59" t="n"/>
      <c r="H103" s="63" t="n">
        <v>4</v>
      </c>
      <c r="I103" s="62" t="inlineStr">
        <is>
          <t>P0-Bắt buộc</t>
        </is>
      </c>
      <c r="J103" s="59" t="inlineStr">
        <is>
          <t>Rider app các màn hình</t>
        </is>
      </c>
      <c r="K103" s="62" t="inlineStr">
        <is>
          <t>Đang làm</t>
        </is>
      </c>
      <c r="L103" s="64" t="n">
        <v>0.4</v>
      </c>
      <c r="M103" s="63">
        <f>H103*(1-L103)</f>
        <v/>
      </c>
      <c r="N103" s="62" t="n"/>
      <c r="O103" s="59" t="inlineStr">
        <is>
          <t>03/09: make smoke — 22 bước đầu-cuối trên server thật, 22/22 đạt (c420f6d). Còn: 10 chuyến thật trên staging (chờ P0-10).</t>
        </is>
      </c>
    </row>
    <row r="104" ht="22.35" customHeight="1" s="38">
      <c r="A104" s="62" t="inlineStr">
        <is>
          <t>P5-01</t>
        </is>
      </c>
      <c r="B104" s="59" t="inlineStr">
        <is>
          <t>P5 - Ledger &amp; Finance</t>
        </is>
      </c>
      <c r="C104" s="59" t="inlineStr">
        <is>
          <t>Backend</t>
        </is>
      </c>
      <c r="D104" s="59" t="inlineStr">
        <is>
          <t>Thiết kế sổ kép: accounts, journal_entries, journal_lines</t>
        </is>
      </c>
      <c r="E104" s="59" t="inlineStr">
        <is>
          <t>Mọi bút toán cân bằng, tổng debit = tổng credit</t>
        </is>
      </c>
      <c r="F104" s="62" t="inlineStr">
        <is>
          <t>TL</t>
        </is>
      </c>
      <c r="G104" s="59" t="n"/>
      <c r="H104" s="63" t="n">
        <v>4</v>
      </c>
      <c r="I104" s="62" t="inlineStr">
        <is>
          <t>P0-Bắt buộc</t>
        </is>
      </c>
      <c r="J104" s="59" t="inlineStr">
        <is>
          <t>P2 xong</t>
        </is>
      </c>
      <c r="K104" s="62" t="inlineStr">
        <is>
          <t>Chưa bắt đầu</t>
        </is>
      </c>
      <c r="L104" s="64" t="n">
        <v>0</v>
      </c>
      <c r="M104" s="63">
        <f>H104*(1-L104)</f>
        <v/>
      </c>
      <c r="N104" s="62" t="n"/>
      <c r="O104" s="59" t="inlineStr">
        <is>
          <t>Tài liệu thanh toán yêu cầu double-entry; code hiện cập nhật số dư trực tiếp</t>
        </is>
      </c>
    </row>
    <row r="105" ht="15" customHeight="1" s="38">
      <c r="A105" s="62" t="inlineStr">
        <is>
          <t>P5-02</t>
        </is>
      </c>
      <c r="B105" s="59" t="inlineStr">
        <is>
          <t>P5 - Ledger &amp; Finance</t>
        </is>
      </c>
      <c r="C105" s="59" t="inlineStr">
        <is>
          <t>Backend</t>
        </is>
      </c>
      <c r="D105" s="59" t="inlineStr">
        <is>
          <t>Migration + chuyển dữ liệu ví/ký quỹ cũ sang sổ kép</t>
        </is>
      </c>
      <c r="E105" s="59" t="inlineStr">
        <is>
          <t>Số dư sau chuyển khớp 100% số dư cũ</t>
        </is>
      </c>
      <c r="F105" s="62" t="inlineStr">
        <is>
          <t>BE</t>
        </is>
      </c>
      <c r="G105" s="59" t="n"/>
      <c r="H105" s="63" t="n">
        <v>5</v>
      </c>
      <c r="I105" s="62" t="inlineStr">
        <is>
          <t>P0-Bắt buộc</t>
        </is>
      </c>
      <c r="J105" s="59" t="inlineStr">
        <is>
          <t>Thiết kế sổ kép</t>
        </is>
      </c>
      <c r="K105" s="62" t="inlineStr">
        <is>
          <t>Chưa bắt đầu</t>
        </is>
      </c>
      <c r="L105" s="64" t="n">
        <v>0</v>
      </c>
      <c r="M105" s="63">
        <f>H105*(1-L105)</f>
        <v/>
      </c>
      <c r="N105" s="62" t="n"/>
      <c r="O105" s="59" t="n"/>
    </row>
    <row r="106" ht="22.35" customHeight="1" s="38">
      <c r="A106" s="62" t="inlineStr">
        <is>
          <t>P5-03</t>
        </is>
      </c>
      <c r="B106" s="59" t="inlineStr">
        <is>
          <t>P5 - Ledger &amp; Finance</t>
        </is>
      </c>
      <c r="C106" s="59" t="inlineStr">
        <is>
          <t>Backend</t>
        </is>
      </c>
      <c r="D106" s="59" t="inlineStr">
        <is>
          <t>Chuyển settlement chuyến sang ghi bút toán kép trong 1 transaction</t>
        </is>
      </c>
      <c r="E106" s="59" t="inlineStr">
        <is>
          <t>Đối soát ngày báo balanced = true</t>
        </is>
      </c>
      <c r="F106" s="62" t="inlineStr">
        <is>
          <t>BE</t>
        </is>
      </c>
      <c r="G106" s="59" t="n"/>
      <c r="H106" s="63" t="n">
        <v>6</v>
      </c>
      <c r="I106" s="62" t="inlineStr">
        <is>
          <t>P0-Bắt buộc</t>
        </is>
      </c>
      <c r="J106" s="59" t="inlineStr">
        <is>
          <t>Migration sổ kép</t>
        </is>
      </c>
      <c r="K106" s="62" t="inlineStr">
        <is>
          <t>Chưa bắt đầu</t>
        </is>
      </c>
      <c r="L106" s="64" t="n">
        <v>0</v>
      </c>
      <c r="M106" s="63">
        <f>H106*(1-L106)</f>
        <v/>
      </c>
      <c r="N106" s="62" t="n"/>
      <c r="O106" s="59" t="n"/>
    </row>
    <row r="107" ht="22.35" customHeight="1" s="38">
      <c r="A107" s="62" t="inlineStr">
        <is>
          <t>P5-04</t>
        </is>
      </c>
      <c r="B107" s="59" t="inlineStr">
        <is>
          <t>P5 - Ledger &amp; Finance</t>
        </is>
      </c>
      <c r="C107" s="59" t="inlineStr">
        <is>
          <t>Backend</t>
        </is>
      </c>
      <c r="D107" s="59" t="inlineStr">
        <is>
          <t>Bảng payouts + quy trình chi trả theo kỳ (tuần)</t>
        </is>
      </c>
      <c r="E107" s="59" t="inlineStr">
        <is>
          <t>Tạo batch chi trả, đối chiếu với ngân hàng</t>
        </is>
      </c>
      <c r="F107" s="62" t="inlineStr">
        <is>
          <t>BE</t>
        </is>
      </c>
      <c r="G107" s="59" t="n"/>
      <c r="H107" s="63" t="n">
        <v>5</v>
      </c>
      <c r="I107" s="62" t="inlineStr">
        <is>
          <t>P0-Bắt buộc</t>
        </is>
      </c>
      <c r="J107" s="59" t="inlineStr">
        <is>
          <t>Sổ kép</t>
        </is>
      </c>
      <c r="K107" s="62" t="inlineStr">
        <is>
          <t>Chưa bắt đầu</t>
        </is>
      </c>
      <c r="L107" s="64" t="n">
        <v>0</v>
      </c>
      <c r="M107" s="63">
        <f>H107*(1-L107)</f>
        <v/>
      </c>
      <c r="N107" s="62" t="n"/>
      <c r="O107" s="59" t="inlineStr">
        <is>
          <t>Hiện chỉ có rút tiền thủ công qua /wallet/withdraw, chưa có payout theo kỳ</t>
        </is>
      </c>
    </row>
    <row r="108" ht="15" customHeight="1" s="38">
      <c r="A108" s="62" t="inlineStr">
        <is>
          <t>P5-05</t>
        </is>
      </c>
      <c r="B108" s="59" t="inlineStr">
        <is>
          <t>P5 - Ledger &amp; Finance</t>
        </is>
      </c>
      <c r="C108" s="59" t="inlineStr">
        <is>
          <t>Backend</t>
        </is>
      </c>
      <c r="D108" s="59" t="inlineStr">
        <is>
          <t>Bảng invoices + tích hợp hoá đơn điện tử (MISA/VNPT)</t>
        </is>
      </c>
      <c r="E108" s="59" t="inlineStr">
        <is>
          <t>Xuất được hoá đơn VAT thật cho khách B2B</t>
        </is>
      </c>
      <c r="F108" s="62" t="inlineStr">
        <is>
          <t>BE</t>
        </is>
      </c>
      <c r="G108" s="59" t="n"/>
      <c r="H108" s="63" t="n">
        <v>5</v>
      </c>
      <c r="I108" s="62" t="inlineStr">
        <is>
          <t>P0-Bắt buộc</t>
        </is>
      </c>
      <c r="J108" s="59" t="inlineStr">
        <is>
          <t>Sổ kép</t>
        </is>
      </c>
      <c r="K108" s="62" t="inlineStr">
        <is>
          <t>Chưa bắt đầu</t>
        </is>
      </c>
      <c r="L108" s="64" t="n">
        <v>0</v>
      </c>
      <c r="M108" s="63">
        <f>H108*(1-L108)</f>
        <v/>
      </c>
      <c r="N108" s="62" t="n"/>
      <c r="O108" s="59" t="inlineStr">
        <is>
          <t>partners/invoice.py hiện mock số hoá đơn</t>
        </is>
      </c>
    </row>
    <row r="109" ht="15" customHeight="1" s="38">
      <c r="A109" s="62" t="inlineStr">
        <is>
          <t>P5-06</t>
        </is>
      </c>
      <c r="B109" s="59" t="inlineStr">
        <is>
          <t>P5 - Ledger &amp; Finance</t>
        </is>
      </c>
      <c r="C109" s="59" t="inlineStr">
        <is>
          <t>Backend</t>
        </is>
      </c>
      <c r="D109" s="59" t="inlineStr">
        <is>
          <t>Phí huỷ chuyến: ghi bút toán trả cho tài xế</t>
        </is>
      </c>
      <c r="E109" s="59" t="inlineStr">
        <is>
          <t>Tài xế nhận đủ phí huỷ vào ví</t>
        </is>
      </c>
      <c r="F109" s="62" t="inlineStr">
        <is>
          <t>BE</t>
        </is>
      </c>
      <c r="G109" s="59" t="n"/>
      <c r="H109" s="63" t="n">
        <v>2</v>
      </c>
      <c r="I109" s="62" t="inlineStr">
        <is>
          <t>P1-Cao</t>
        </is>
      </c>
      <c r="J109" s="59" t="inlineStr">
        <is>
          <t>Sổ kép</t>
        </is>
      </c>
      <c r="K109" s="62" t="inlineStr">
        <is>
          <t>Chưa bắt đầu</t>
        </is>
      </c>
      <c r="L109" s="64" t="n">
        <v>0</v>
      </c>
      <c r="M109" s="63">
        <f>H109*(1-L109)</f>
        <v/>
      </c>
      <c r="N109" s="62" t="n"/>
      <c r="O109" s="59" t="inlineStr">
        <is>
          <t>Hiện chỉ ghi trips.cancellation_fee, không có bút toán ví nào</t>
        </is>
      </c>
    </row>
    <row r="110" ht="22.35" customHeight="1" s="38">
      <c r="A110" s="62" t="inlineStr">
        <is>
          <t>P5-07</t>
        </is>
      </c>
      <c r="B110" s="59" t="inlineStr">
        <is>
          <t>P5 - Ledger &amp; Finance</t>
        </is>
      </c>
      <c r="C110" s="59" t="inlineStr">
        <is>
          <t>Backend</t>
        </is>
      </c>
      <c r="D110" s="59" t="inlineStr">
        <is>
          <t>Làm rõ 4% chưa hạch toán (100 - 58 tài xế - 38 nền tảng)</t>
        </is>
      </c>
      <c r="E110" s="59" t="inlineStr">
        <is>
          <t>Có kết luận bằng văn bản + kiểm tra trong job đối soát</t>
        </is>
      </c>
      <c r="F110" s="62" t="inlineStr">
        <is>
          <t>TL</t>
        </is>
      </c>
      <c r="G110" s="59" t="n"/>
      <c r="H110" s="63" t="n">
        <v>1</v>
      </c>
      <c r="I110" s="62" t="inlineStr">
        <is>
          <t>P0-Bắt buộc</t>
        </is>
      </c>
      <c r="J110" s="59" t="n"/>
      <c r="K110" s="62" t="inlineStr">
        <is>
          <t>Chưa bắt đầu</t>
        </is>
      </c>
      <c r="L110" s="64" t="n">
        <v>0</v>
      </c>
      <c r="M110" s="63">
        <f>H110*(1-L110)</f>
        <v/>
      </c>
      <c r="N110" s="62" t="n"/>
      <c r="O110" s="59" t="inlineStr">
        <is>
          <t>Đã kiểm chứng trong code: khoản này hiện không vào bút toán nào và đối soát không kiểm</t>
        </is>
      </c>
    </row>
    <row r="111" ht="22.35" customHeight="1" s="38">
      <c r="A111" s="62" t="inlineStr">
        <is>
          <t>P5-08</t>
        </is>
      </c>
      <c r="B111" s="59" t="inlineStr">
        <is>
          <t>P5 - Ledger &amp; Finance</t>
        </is>
      </c>
      <c r="C111" s="59" t="inlineStr">
        <is>
          <t>Backend</t>
        </is>
      </c>
      <c r="D111" s="59" t="inlineStr">
        <is>
          <t>Payment state machine đầy đủ: pre-auth, capture, retry 3 lần, dispute, refund</t>
        </is>
      </c>
      <c r="E111" s="59" t="inlineStr">
        <is>
          <t>Capture lỗi tự retry, quá 3 lần chuyển debt_pending</t>
        </is>
      </c>
      <c r="F111" s="62" t="inlineStr">
        <is>
          <t>BE</t>
        </is>
      </c>
      <c r="G111" s="59" t="n"/>
      <c r="H111" s="63" t="n">
        <v>6</v>
      </c>
      <c r="I111" s="62" t="inlineStr">
        <is>
          <t>P0-Bắt buộc</t>
        </is>
      </c>
      <c r="J111" s="59" t="inlineStr">
        <is>
          <t>Sổ kép</t>
        </is>
      </c>
      <c r="K111" s="62" t="inlineStr">
        <is>
          <t>Chưa bắt đầu</t>
        </is>
      </c>
      <c r="L111" s="64" t="n">
        <v>0</v>
      </c>
      <c r="M111" s="63">
        <f>H111*(1-L111)</f>
        <v/>
      </c>
      <c r="N111" s="62" t="n"/>
      <c r="O111" s="59" t="inlineStr">
        <is>
          <t>Hiện chỉ 4 trạng thái pending/completed/failed/refunded, không retry</t>
        </is>
      </c>
    </row>
    <row r="112" ht="22.35" customHeight="1" s="38">
      <c r="A112" s="62" t="inlineStr">
        <is>
          <t>P5-09</t>
        </is>
      </c>
      <c r="B112" s="59" t="inlineStr">
        <is>
          <t>P5 - Ledger &amp; Finance</t>
        </is>
      </c>
      <c r="C112" s="59" t="inlineStr">
        <is>
          <t>Backend</t>
        </is>
      </c>
      <c r="D112" s="59" t="inlineStr">
        <is>
          <t>[TUỲ QUYẾT ĐỊNH] Nhánh tiền mặt + bảng driver_debts</t>
        </is>
      </c>
      <c r="E112" s="59" t="inlineStr">
        <is>
          <t>Tài xế thu tiền mặt, hệ thống ghi nợ hoa hồng, chặn nhận chuyến khi nợ &gt; 300k</t>
        </is>
      </c>
      <c r="F112" s="62" t="inlineStr">
        <is>
          <t>BE</t>
        </is>
      </c>
      <c r="G112" s="59" t="n"/>
      <c r="H112" s="63" t="n">
        <v>8</v>
      </c>
      <c r="I112" s="62" t="inlineStr">
        <is>
          <t>P0-Bắt buộc</t>
        </is>
      </c>
      <c r="J112" s="59" t="inlineStr">
        <is>
          <t>Sổ kép</t>
        </is>
      </c>
      <c r="K112" s="62" t="inlineStr">
        <is>
          <t>Bị chặn</t>
        </is>
      </c>
      <c r="L112" s="64" t="n">
        <v>0</v>
      </c>
      <c r="M112" s="63">
        <f>H112*(1-L112)</f>
        <v/>
      </c>
      <c r="N112" s="62" t="n"/>
      <c r="O112" s="59" t="inlineStr">
        <is>
          <t>ĐANG CHỜ QUYẾT ĐỊNH: tài liệu thiết kế rất kỹ nhưng code đang tắt hẳn (CASH_DISABLED)</t>
        </is>
      </c>
    </row>
    <row r="113" ht="15" customHeight="1" s="38">
      <c r="A113" s="62" t="inlineStr">
        <is>
          <t>P5-10</t>
        </is>
      </c>
      <c r="B113" s="59" t="inlineStr">
        <is>
          <t>P5 - Ledger &amp; Finance</t>
        </is>
      </c>
      <c r="C113" s="59" t="inlineStr">
        <is>
          <t>Backend</t>
        </is>
      </c>
      <c r="D113" s="59" t="inlineStr">
        <is>
          <t>Tích hợp VNPay thật: ký HMAC, IPN webhook idempotent</t>
        </is>
      </c>
      <c r="E113" s="59" t="inlineStr">
        <is>
          <t>Thanh toán và hoàn tiền thật chạy trên staging</t>
        </is>
      </c>
      <c r="F113" s="62" t="inlineStr">
        <is>
          <t>BE</t>
        </is>
      </c>
      <c r="G113" s="59" t="n"/>
      <c r="H113" s="63" t="n">
        <v>6</v>
      </c>
      <c r="I113" s="62" t="inlineStr">
        <is>
          <t>P0-Bắt buộc</t>
        </is>
      </c>
      <c r="J113" s="59" t="inlineStr">
        <is>
          <t>Payment state machine</t>
        </is>
      </c>
      <c r="K113" s="62" t="inlineStr">
        <is>
          <t>Chưa bắt đầu</t>
        </is>
      </c>
      <c r="L113" s="64" t="n">
        <v>0</v>
      </c>
      <c r="M113" s="63">
        <f>H113*(1-L113)</f>
        <v/>
      </c>
      <c r="N113" s="62" t="n"/>
      <c r="O113" s="59" t="inlineStr">
        <is>
          <t>gateway.py: VNPayGateway hiện raise NotImplementedError</t>
        </is>
      </c>
    </row>
    <row r="114" ht="22.35" customHeight="1" s="38">
      <c r="A114" s="62" t="inlineStr">
        <is>
          <t>P5-11</t>
        </is>
      </c>
      <c r="B114" s="59" t="inlineStr">
        <is>
          <t>P5 - Ledger &amp; Finance</t>
        </is>
      </c>
      <c r="C114" s="59" t="inlineStr">
        <is>
          <t>Frontend</t>
        </is>
      </c>
      <c r="D114" s="59" t="inlineStr">
        <is>
          <t>Console: Finance - đối soát ngày, sổ ví/ký quỹ, duyệt rút tiền (maker-checker)</t>
        </is>
      </c>
      <c r="E114" s="59" t="inlineStr">
        <is>
          <t>Kế toán tạo lệnh, trưởng phòng duyệt, có audit</t>
        </is>
      </c>
      <c r="F114" s="62" t="inlineStr">
        <is>
          <t>FE</t>
        </is>
      </c>
      <c r="G114" s="59" t="n"/>
      <c r="H114" s="63" t="n">
        <v>6</v>
      </c>
      <c r="I114" s="62" t="inlineStr">
        <is>
          <t>P0-Bắt buộc</t>
        </is>
      </c>
      <c r="J114" s="59" t="inlineStr">
        <is>
          <t>Khung maker-checker</t>
        </is>
      </c>
      <c r="K114" s="62" t="inlineStr">
        <is>
          <t>Chưa bắt đầu</t>
        </is>
      </c>
      <c r="L114" s="64" t="n">
        <v>0</v>
      </c>
      <c r="M114" s="63">
        <f>H114*(1-L114)</f>
        <v/>
      </c>
      <c r="N114" s="62" t="n"/>
      <c r="O114" s="59" t="n"/>
    </row>
    <row r="115" ht="22.35" customHeight="1" s="38">
      <c r="A115" s="62" t="inlineStr">
        <is>
          <t>P5-12</t>
        </is>
      </c>
      <c r="B115" s="59" t="inlineStr">
        <is>
          <t>P5 - Ledger &amp; Finance</t>
        </is>
      </c>
      <c r="C115" s="59" t="inlineStr">
        <is>
          <t>Frontend</t>
        </is>
      </c>
      <c r="D115" s="59" t="inlineStr">
        <is>
          <t>Console: báo cáo doanh thu, take-rate thực, unit economics</t>
        </is>
      </c>
      <c r="E115" s="59" t="inlineStr">
        <is>
          <t>Xuất được báo cáo tháng phục vụ gọi vốn</t>
        </is>
      </c>
      <c r="F115" s="62" t="inlineStr">
        <is>
          <t>FE</t>
        </is>
      </c>
      <c r="G115" s="59" t="n"/>
      <c r="H115" s="63" t="n">
        <v>5</v>
      </c>
      <c r="I115" s="62" t="inlineStr">
        <is>
          <t>P1-Cao</t>
        </is>
      </c>
      <c r="J115" s="59" t="inlineStr">
        <is>
          <t>Sổ kép</t>
        </is>
      </c>
      <c r="K115" s="62" t="inlineStr">
        <is>
          <t>Chưa bắt đầu</t>
        </is>
      </c>
      <c r="L115" s="64" t="n">
        <v>0</v>
      </c>
      <c r="M115" s="63">
        <f>H115*(1-L115)</f>
        <v/>
      </c>
      <c r="N115" s="62" t="n"/>
      <c r="O115" s="59" t="n"/>
    </row>
    <row r="116" ht="22.35" customHeight="1" s="38">
      <c r="A116" s="62" t="inlineStr">
        <is>
          <t>P5-13</t>
        </is>
      </c>
      <c r="B116" s="59" t="inlineStr">
        <is>
          <t>P5 - Ledger &amp; Finance</t>
        </is>
      </c>
      <c r="C116" s="59" t="inlineStr">
        <is>
          <t>QA</t>
        </is>
      </c>
      <c r="D116" s="59" t="inlineStr">
        <is>
          <t>Đối chiếu số liệu: 100 chuyến mô phỏng, kiểm tra sổ cân bằng</t>
        </is>
      </c>
      <c r="E116" s="59" t="inlineStr">
        <is>
          <t>Chênh lệch = 0 ở mọi kịch bản kể cả huỷ/hoàn/phạt</t>
        </is>
      </c>
      <c r="F116" s="62" t="inlineStr">
        <is>
          <t>FE</t>
        </is>
      </c>
      <c r="G116" s="59" t="n"/>
      <c r="H116" s="63" t="n">
        <v>4</v>
      </c>
      <c r="I116" s="62" t="inlineStr">
        <is>
          <t>P0-Bắt buộc</t>
        </is>
      </c>
      <c r="J116" s="59" t="inlineStr">
        <is>
          <t>Settlement sổ kép</t>
        </is>
      </c>
      <c r="K116" s="62" t="inlineStr">
        <is>
          <t>Chưa bắt đầu</t>
        </is>
      </c>
      <c r="L116" s="64" t="n">
        <v>0</v>
      </c>
      <c r="M116" s="63">
        <f>H116*(1-L116)</f>
        <v/>
      </c>
      <c r="N116" s="62" t="n"/>
      <c r="O116" s="59" t="n"/>
    </row>
    <row r="117" ht="15" customHeight="1" s="38">
      <c r="A117" s="62" t="inlineStr">
        <is>
          <t>P6-01</t>
        </is>
      </c>
      <c r="B117" s="59" t="inlineStr">
        <is>
          <t>P6 - Partner &amp; Website</t>
        </is>
      </c>
      <c r="C117" s="59" t="inlineStr">
        <is>
          <t>Backend</t>
        </is>
      </c>
      <c r="D117" s="59" t="inlineStr">
        <is>
          <t>API /partner/* + đăng nhập đối tác bằng email OTP</t>
        </is>
      </c>
      <c r="E117" s="59" t="inlineStr">
        <is>
          <t>Đối tác chỉ thấy dữ liệu của chính mình</t>
        </is>
      </c>
      <c r="F117" s="62" t="inlineStr">
        <is>
          <t>BE</t>
        </is>
      </c>
      <c r="G117" s="59" t="n"/>
      <c r="H117" s="63" t="n">
        <v>4</v>
      </c>
      <c r="I117" s="62" t="inlineStr">
        <is>
          <t>P0-Bắt buộc</t>
        </is>
      </c>
      <c r="J117" s="59" t="inlineStr">
        <is>
          <t>Tách router</t>
        </is>
      </c>
      <c r="K117" s="62" t="inlineStr">
        <is>
          <t>Chưa bắt đầu</t>
        </is>
      </c>
      <c r="L117" s="64" t="n">
        <v>0</v>
      </c>
      <c r="M117" s="63">
        <f>H117*(1-L117)</f>
        <v/>
      </c>
      <c r="N117" s="62" t="n"/>
      <c r="O117" s="59" t="inlineStr">
        <is>
          <t>Model partners đã có, chưa có lớp xác thực riêng cho đối tác</t>
        </is>
      </c>
    </row>
    <row r="118" ht="15" customHeight="1" s="38">
      <c r="A118" s="62" t="inlineStr">
        <is>
          <t>P6-02</t>
        </is>
      </c>
      <c r="B118" s="59" t="inlineStr">
        <is>
          <t>P6 - Partner &amp; Website</t>
        </is>
      </c>
      <c r="C118" s="59" t="inlineStr">
        <is>
          <t>Frontend</t>
        </is>
      </c>
      <c r="D118" s="59" t="inlineStr">
        <is>
          <t>Partner Portal: scaffold + auth + layout</t>
        </is>
      </c>
      <c r="E118" s="59" t="inlineStr">
        <is>
          <t>Đăng nhập và điều hướng cơ bản</t>
        </is>
      </c>
      <c r="F118" s="62" t="inlineStr">
        <is>
          <t>FE</t>
        </is>
      </c>
      <c r="G118" s="59" t="n"/>
      <c r="H118" s="63" t="n">
        <v>3</v>
      </c>
      <c r="I118" s="62" t="inlineStr">
        <is>
          <t>P1-Cao</t>
        </is>
      </c>
      <c r="J118" s="59" t="inlineStr">
        <is>
          <t>packages/ui</t>
        </is>
      </c>
      <c r="K118" s="62" t="inlineStr">
        <is>
          <t>Chưa bắt đầu</t>
        </is>
      </c>
      <c r="L118" s="64" t="n">
        <v>0</v>
      </c>
      <c r="M118" s="63">
        <f>H118*(1-L118)</f>
        <v/>
      </c>
      <c r="N118" s="62" t="n"/>
      <c r="O118" s="59" t="n"/>
    </row>
    <row r="119" ht="15" customHeight="1" s="38">
      <c r="A119" s="62" t="inlineStr">
        <is>
          <t>P6-03</t>
        </is>
      </c>
      <c r="B119" s="59" t="inlineStr">
        <is>
          <t>P6 - Partner &amp; Website</t>
        </is>
      </c>
      <c r="C119" s="59" t="inlineStr">
        <is>
          <t>Frontend</t>
        </is>
      </c>
      <c r="D119" s="59" t="inlineStr">
        <is>
          <t>Portal: QR bàn/quầy, tạo và in ấn</t>
        </is>
      </c>
      <c r="E119" s="59" t="inlineStr">
        <is>
          <t>Nhà hàng in được bộ QR cho 20 bàn</t>
        </is>
      </c>
      <c r="F119" s="62" t="inlineStr">
        <is>
          <t>FE</t>
        </is>
      </c>
      <c r="G119" s="59" t="n"/>
      <c r="H119" s="63" t="n">
        <v>3</v>
      </c>
      <c r="I119" s="62" t="inlineStr">
        <is>
          <t>P1-Cao</t>
        </is>
      </c>
      <c r="J119" s="59" t="inlineStr">
        <is>
          <t>API /partner/*</t>
        </is>
      </c>
      <c r="K119" s="62" t="inlineStr">
        <is>
          <t>Chưa bắt đầu</t>
        </is>
      </c>
      <c r="L119" s="64" t="n">
        <v>0</v>
      </c>
      <c r="M119" s="63">
        <f>H119*(1-L119)</f>
        <v/>
      </c>
      <c r="N119" s="62" t="n"/>
      <c r="O119" s="59" t="n"/>
    </row>
    <row r="120" ht="15" customHeight="1" s="38">
      <c r="A120" s="62" t="inlineStr">
        <is>
          <t>P6-04</t>
        </is>
      </c>
      <c r="B120" s="59" t="inlineStr">
        <is>
          <t>P6 - Partner &amp; Website</t>
        </is>
      </c>
      <c r="C120" s="59" t="inlineStr">
        <is>
          <t>Frontend</t>
        </is>
      </c>
      <c r="D120" s="59" t="inlineStr">
        <is>
          <t>Portal: báo cáo hoa hồng, kỳ chi trả, trạng thái</t>
        </is>
      </c>
      <c r="E120" s="59" t="inlineStr">
        <is>
          <t>Đối tác tự đối chiếu được số tiền nhận</t>
        </is>
      </c>
      <c r="F120" s="62" t="inlineStr">
        <is>
          <t>FE</t>
        </is>
      </c>
      <c r="G120" s="59" t="n"/>
      <c r="H120" s="63" t="n">
        <v>4</v>
      </c>
      <c r="I120" s="62" t="inlineStr">
        <is>
          <t>P1-Cao</t>
        </is>
      </c>
      <c r="J120" s="59" t="inlineStr">
        <is>
          <t>API /partner/*</t>
        </is>
      </c>
      <c r="K120" s="62" t="inlineStr">
        <is>
          <t>Chưa bắt đầu</t>
        </is>
      </c>
      <c r="L120" s="64" t="n">
        <v>0</v>
      </c>
      <c r="M120" s="63">
        <f>H120*(1-L120)</f>
        <v/>
      </c>
      <c r="N120" s="62" t="n"/>
      <c r="O120" s="59" t="n"/>
    </row>
    <row r="121" ht="15" customHeight="1" s="38">
      <c r="A121" s="62" t="inlineStr">
        <is>
          <t>P6-05</t>
        </is>
      </c>
      <c r="B121" s="59" t="inlineStr">
        <is>
          <t>P6 - Partner &amp; Website</t>
        </is>
      </c>
      <c r="C121" s="59" t="inlineStr">
        <is>
          <t>Frontend</t>
        </is>
      </c>
      <c r="D121" s="59" t="inlineStr">
        <is>
          <t>Portal: tải hoá đơn VAT</t>
        </is>
      </c>
      <c r="E121" s="59" t="inlineStr">
        <is>
          <t>Khách sạn tải được hoá đơn PDF</t>
        </is>
      </c>
      <c r="F121" s="62" t="inlineStr">
        <is>
          <t>FE</t>
        </is>
      </c>
      <c r="G121" s="59" t="n"/>
      <c r="H121" s="63" t="n">
        <v>2</v>
      </c>
      <c r="I121" s="62" t="inlineStr">
        <is>
          <t>P2-Trung bình</t>
        </is>
      </c>
      <c r="J121" s="59" t="inlineStr">
        <is>
          <t>Bảng invoices</t>
        </is>
      </c>
      <c r="K121" s="62" t="inlineStr">
        <is>
          <t>Chưa bắt đầu</t>
        </is>
      </c>
      <c r="L121" s="64" t="n">
        <v>0</v>
      </c>
      <c r="M121" s="63">
        <f>H121*(1-L121)</f>
        <v/>
      </c>
      <c r="N121" s="62" t="n"/>
      <c r="O121" s="59" t="n"/>
    </row>
    <row r="122" ht="15" customHeight="1" s="38">
      <c r="A122" s="62" t="inlineStr">
        <is>
          <t>P6-06</t>
        </is>
      </c>
      <c r="B122" s="59" t="inlineStr">
        <is>
          <t>P6 - Partner &amp; Website</t>
        </is>
      </c>
      <c r="C122" s="59" t="inlineStr">
        <is>
          <t>Frontend</t>
        </is>
      </c>
      <c r="D122" s="59" t="inlineStr">
        <is>
          <t>Console: quản lý đối tác + đối soát chi trả hoa hồng</t>
        </is>
      </c>
      <c r="E122" s="59" t="inlineStr">
        <is>
          <t>Tạo đối tác mới, đặt tỷ lệ hoa hồng, chốt kỳ</t>
        </is>
      </c>
      <c r="F122" s="62" t="inlineStr">
        <is>
          <t>FE</t>
        </is>
      </c>
      <c r="G122" s="59" t="n"/>
      <c r="H122" s="63" t="n">
        <v>4</v>
      </c>
      <c r="I122" s="62" t="inlineStr">
        <is>
          <t>P1-Cao</t>
        </is>
      </c>
      <c r="J122" s="59" t="inlineStr">
        <is>
          <t>API /partner/*</t>
        </is>
      </c>
      <c r="K122" s="62" t="inlineStr">
        <is>
          <t>Chưa bắt đầu</t>
        </is>
      </c>
      <c r="L122" s="64" t="n">
        <v>0</v>
      </c>
      <c r="M122" s="63">
        <f>H122*(1-L122)</f>
        <v/>
      </c>
      <c r="N122" s="62" t="n"/>
      <c r="O122" s="59" t="n"/>
    </row>
    <row r="123" ht="22.35" customHeight="1" s="38">
      <c r="A123" s="62" t="inlineStr">
        <is>
          <t>P6-07</t>
        </is>
      </c>
      <c r="B123" s="59" t="inlineStr">
        <is>
          <t>P6 - Partner &amp; Website</t>
        </is>
      </c>
      <c r="C123" s="59" t="inlineStr">
        <is>
          <t>Frontend</t>
        </is>
      </c>
      <c r="D123" s="59" t="inlineStr">
        <is>
          <t>Dựng CMS (Payload self-host, DB riêng) + schema nội dung</t>
        </is>
      </c>
      <c r="E123" s="59" t="inlineStr">
        <is>
          <t>Marketing tự đăng bài không cần dev</t>
        </is>
      </c>
      <c r="F123" s="62" t="inlineStr">
        <is>
          <t>FE</t>
        </is>
      </c>
      <c r="G123" s="59" t="n"/>
      <c r="H123" s="63" t="n">
        <v>5</v>
      </c>
      <c r="I123" s="62" t="inlineStr">
        <is>
          <t>P1-Cao</t>
        </is>
      </c>
      <c r="J123" s="59" t="inlineStr">
        <is>
          <t>P0 xong</t>
        </is>
      </c>
      <c r="K123" s="62" t="inlineStr">
        <is>
          <t>Chưa bắt đầu</t>
        </is>
      </c>
      <c r="L123" s="64" t="n">
        <v>0</v>
      </c>
      <c r="M123" s="63">
        <f>H123*(1-L123)</f>
        <v/>
      </c>
      <c r="N123" s="62" t="n"/>
      <c r="O123" s="59" t="n"/>
    </row>
    <row r="124" ht="22.35" customHeight="1" s="38">
      <c r="A124" s="62" t="inlineStr">
        <is>
          <t>P6-08</t>
        </is>
      </c>
      <c r="B124" s="59" t="inlineStr">
        <is>
          <t>P6 - Partner &amp; Website</t>
        </is>
      </c>
      <c r="C124" s="59" t="inlineStr">
        <is>
          <t>Frontend</t>
        </is>
      </c>
      <c r="D124" s="59" t="inlineStr">
        <is>
          <t>Website Next.js: landing, dịch vụ, bảng giá, blog, tuyển tài xế</t>
        </is>
      </c>
      <c r="E124" s="59" t="inlineStr">
        <is>
          <t>Lên production, điểm Lighthouse ≥ 90</t>
        </is>
      </c>
      <c r="F124" s="62" t="inlineStr">
        <is>
          <t>FE</t>
        </is>
      </c>
      <c r="G124" s="59" t="n"/>
      <c r="H124" s="63" t="n">
        <v>8</v>
      </c>
      <c r="I124" s="62" t="inlineStr">
        <is>
          <t>P1-Cao</t>
        </is>
      </c>
      <c r="J124" s="59" t="inlineStr">
        <is>
          <t>CMS</t>
        </is>
      </c>
      <c r="K124" s="62" t="inlineStr">
        <is>
          <t>Chưa bắt đầu</t>
        </is>
      </c>
      <c r="L124" s="64" t="n">
        <v>0</v>
      </c>
      <c r="M124" s="63">
        <f>H124*(1-L124)</f>
        <v/>
      </c>
      <c r="N124" s="62" t="n"/>
      <c r="O124" s="59" t="n"/>
    </row>
    <row r="125" ht="22.35" customHeight="1" s="38">
      <c r="A125" s="62" t="inlineStr">
        <is>
          <t>P6-09</t>
        </is>
      </c>
      <c r="B125" s="59" t="inlineStr">
        <is>
          <t>P6 - Partner &amp; Website</t>
        </is>
      </c>
      <c r="C125" s="59" t="inlineStr">
        <is>
          <t>Backend</t>
        </is>
      </c>
      <c r="D125" s="59" t="inlineStr">
        <is>
          <t>API /public/*: driver-applications, partner-leads, shared trip + CAPTCHA</t>
        </is>
      </c>
      <c r="E125" s="59" t="inlineStr">
        <is>
          <t>Chống spam, rate limit chặt, không cần đăng nhập</t>
        </is>
      </c>
      <c r="F125" s="62" t="inlineStr">
        <is>
          <t>BE</t>
        </is>
      </c>
      <c r="G125" s="59" t="n"/>
      <c r="H125" s="63" t="n">
        <v>3</v>
      </c>
      <c r="I125" s="62" t="inlineStr">
        <is>
          <t>P1-Cao</t>
        </is>
      </c>
      <c r="J125" s="59" t="inlineStr">
        <is>
          <t>Tách router</t>
        </is>
      </c>
      <c r="K125" s="62" t="inlineStr">
        <is>
          <t>Chưa bắt đầu</t>
        </is>
      </c>
      <c r="L125" s="64" t="n">
        <v>0</v>
      </c>
      <c r="M125" s="63">
        <f>H125*(1-L125)</f>
        <v/>
      </c>
      <c r="N125" s="62" t="n"/>
      <c r="O125" s="59" t="n"/>
    </row>
    <row r="126" ht="15" customHeight="1" s="38">
      <c r="A126" s="62" t="inlineStr">
        <is>
          <t>P6-10</t>
        </is>
      </c>
      <c r="B126" s="59" t="inlineStr">
        <is>
          <t>P6 - Partner &amp; Website</t>
        </is>
      </c>
      <c r="C126" s="59" t="inlineStr">
        <is>
          <t>Frontend</t>
        </is>
      </c>
      <c r="D126" s="59" t="inlineStr">
        <is>
          <t>SEO, sitemap, analytics, tối ưu ảnh</t>
        </is>
      </c>
      <c r="E126" s="59" t="inlineStr">
        <is>
          <t>Index được trên Google, có số liệu truy cập</t>
        </is>
      </c>
      <c r="F126" s="62" t="inlineStr">
        <is>
          <t>FE</t>
        </is>
      </c>
      <c r="G126" s="59" t="n"/>
      <c r="H126" s="63" t="n">
        <v>3</v>
      </c>
      <c r="I126" s="62" t="inlineStr">
        <is>
          <t>P2-Trung bình</t>
        </is>
      </c>
      <c r="J126" s="59" t="inlineStr">
        <is>
          <t>Website</t>
        </is>
      </c>
      <c r="K126" s="62" t="inlineStr">
        <is>
          <t>Chưa bắt đầu</t>
        </is>
      </c>
      <c r="L126" s="64" t="n">
        <v>0</v>
      </c>
      <c r="M126" s="63">
        <f>H126*(1-L126)</f>
        <v/>
      </c>
      <c r="N126" s="62" t="n"/>
      <c r="O126" s="59" t="n"/>
    </row>
    <row r="127" ht="22.35" customHeight="1" s="38">
      <c r="A127" s="62" t="inlineStr">
        <is>
          <t>P6-11</t>
        </is>
      </c>
      <c r="B127" s="59" t="inlineStr">
        <is>
          <t>P6 - Partner &amp; Website</t>
        </is>
      </c>
      <c r="C127" s="59" t="inlineStr">
        <is>
          <t>TL</t>
        </is>
      </c>
      <c r="D127" s="59" t="inlineStr">
        <is>
          <t>Trang chính sách bảo mật, điều khoản (bắt buộc để lên store)</t>
        </is>
      </c>
      <c r="E127" s="59" t="inlineStr">
        <is>
          <t>Có URL công khai để khai báo với App Store/Play</t>
        </is>
      </c>
      <c r="F127" s="62" t="inlineStr">
        <is>
          <t>TL</t>
        </is>
      </c>
      <c r="G127" s="59" t="n"/>
      <c r="H127" s="63" t="n">
        <v>2</v>
      </c>
      <c r="I127" s="62" t="inlineStr">
        <is>
          <t>P0-Bắt buộc</t>
        </is>
      </c>
      <c r="J127" s="59" t="inlineStr">
        <is>
          <t>CMS</t>
        </is>
      </c>
      <c r="K127" s="62" t="inlineStr">
        <is>
          <t>Chưa bắt đầu</t>
        </is>
      </c>
      <c r="L127" s="64" t="n">
        <v>0</v>
      </c>
      <c r="M127" s="63">
        <f>H127*(1-L127)</f>
        <v/>
      </c>
      <c r="N127" s="62" t="n"/>
      <c r="O127" s="59" t="inlineStr">
        <is>
          <t>Bắt buộc theo Nghị định 13/2023 và yêu cầu của 2 store</t>
        </is>
      </c>
    </row>
    <row r="128" ht="15" customHeight="1" s="38">
      <c r="A128" s="62" t="inlineStr">
        <is>
          <t>P7-01</t>
        </is>
      </c>
      <c r="B128" s="59" t="inlineStr">
        <is>
          <t>P7 - Hardening</t>
        </is>
      </c>
      <c r="C128" s="59" t="inlineStr">
        <is>
          <t>DevOps</t>
        </is>
      </c>
      <c r="D128" s="59" t="inlineStr">
        <is>
          <t>Load test: matching và WebSocket 5.000 kết nối đồng thời</t>
        </is>
      </c>
      <c r="E128" s="59" t="inlineStr">
        <is>
          <t>p95 latency đạt ngưỡng đề ra, không rớt kết nối</t>
        </is>
      </c>
      <c r="F128" s="62" t="inlineStr">
        <is>
          <t>TL</t>
        </is>
      </c>
      <c r="G128" s="59" t="n"/>
      <c r="H128" s="63" t="n">
        <v>5</v>
      </c>
      <c r="I128" s="62" t="inlineStr">
        <is>
          <t>P0-Bắt buộc</t>
        </is>
      </c>
      <c r="J128" s="59" t="inlineStr">
        <is>
          <t>P4 xong</t>
        </is>
      </c>
      <c r="K128" s="62" t="inlineStr">
        <is>
          <t>Chưa bắt đầu</t>
        </is>
      </c>
      <c r="L128" s="64" t="n">
        <v>0</v>
      </c>
      <c r="M128" s="63">
        <f>H128*(1-L128)</f>
        <v/>
      </c>
      <c r="N128" s="62" t="n"/>
      <c r="O128" s="59" t="n"/>
    </row>
    <row r="129" ht="15" customHeight="1" s="38">
      <c r="A129" s="62" t="inlineStr">
        <is>
          <t>P7-02</t>
        </is>
      </c>
      <c r="B129" s="59" t="inlineStr">
        <is>
          <t>P7 - Hardening</t>
        </is>
      </c>
      <c r="C129" s="59" t="inlineStr">
        <is>
          <t>Backend</t>
        </is>
      </c>
      <c r="D129" s="59" t="inlineStr">
        <is>
          <t>Tối ưu chỉ mục và truy vấn chậm</t>
        </is>
      </c>
      <c r="E129" s="59" t="inlineStr">
        <is>
          <t>Không còn truy vấn &gt; 200ms trong top 20</t>
        </is>
      </c>
      <c r="F129" s="62" t="inlineStr">
        <is>
          <t>BE</t>
        </is>
      </c>
      <c r="G129" s="59" t="n"/>
      <c r="H129" s="63" t="n">
        <v>4</v>
      </c>
      <c r="I129" s="62" t="inlineStr">
        <is>
          <t>P1-Cao</t>
        </is>
      </c>
      <c r="J129" s="59" t="inlineStr">
        <is>
          <t>Load test</t>
        </is>
      </c>
      <c r="K129" s="62" t="inlineStr">
        <is>
          <t>Chưa bắt đầu</t>
        </is>
      </c>
      <c r="L129" s="64" t="n">
        <v>0</v>
      </c>
      <c r="M129" s="63">
        <f>H129*(1-L129)</f>
        <v/>
      </c>
      <c r="N129" s="62" t="n"/>
      <c r="O129" s="59" t="n"/>
    </row>
    <row r="130" ht="15" customHeight="1" s="38">
      <c r="A130" s="62" t="inlineStr">
        <is>
          <t>P7-03</t>
        </is>
      </c>
      <c r="B130" s="59" t="inlineStr">
        <is>
          <t>P7 - Hardening</t>
        </is>
      </c>
      <c r="C130" s="59" t="inlineStr">
        <is>
          <t>DevOps</t>
        </is>
      </c>
      <c r="D130" s="59" t="inlineStr">
        <is>
          <t>Runbook sự cố + diễn tập khôi phục từ backup</t>
        </is>
      </c>
      <c r="E130" s="59" t="inlineStr">
        <is>
          <t>Khôi phục thành công trong thời gian cam kết</t>
        </is>
      </c>
      <c r="F130" s="62" t="inlineStr">
        <is>
          <t>TL</t>
        </is>
      </c>
      <c r="G130" s="59" t="n"/>
      <c r="H130" s="63" t="n">
        <v>3</v>
      </c>
      <c r="I130" s="62" t="inlineStr">
        <is>
          <t>P0-Bắt buộc</t>
        </is>
      </c>
      <c r="J130" s="59" t="inlineStr">
        <is>
          <t>Backup PITR</t>
        </is>
      </c>
      <c r="K130" s="62" t="inlineStr">
        <is>
          <t>Chưa bắt đầu</t>
        </is>
      </c>
      <c r="L130" s="64" t="n">
        <v>0</v>
      </c>
      <c r="M130" s="63">
        <f>H130*(1-L130)</f>
        <v/>
      </c>
      <c r="N130" s="62" t="n"/>
      <c r="O130" s="59" t="n"/>
    </row>
    <row r="131" ht="15" customHeight="1" s="38">
      <c r="A131" s="62" t="inlineStr">
        <is>
          <t>P7-04</t>
        </is>
      </c>
      <c r="B131" s="59" t="inlineStr">
        <is>
          <t>P7 - Hardening</t>
        </is>
      </c>
      <c r="C131" s="59" t="inlineStr">
        <is>
          <t>DevOps</t>
        </is>
      </c>
      <c r="D131" s="59" t="inlineStr">
        <is>
          <t>Pentest bên ngoài + sửa lỗi phát hiện</t>
        </is>
      </c>
      <c r="E131" s="59" t="inlineStr">
        <is>
          <t>Không còn lỗi mức High/Critical</t>
        </is>
      </c>
      <c r="F131" s="62" t="inlineStr">
        <is>
          <t>TL</t>
        </is>
      </c>
      <c r="G131" s="59" t="n"/>
      <c r="H131" s="63" t="n">
        <v>5</v>
      </c>
      <c r="I131" s="62" t="inlineStr">
        <is>
          <t>P0-Bắt buộc</t>
        </is>
      </c>
      <c r="J131" s="59" t="inlineStr">
        <is>
          <t>P5 xong</t>
        </is>
      </c>
      <c r="K131" s="62" t="inlineStr">
        <is>
          <t>Chưa bắt đầu</t>
        </is>
      </c>
      <c r="L131" s="64" t="n">
        <v>0</v>
      </c>
      <c r="M131" s="63">
        <f>H131*(1-L131)</f>
        <v/>
      </c>
      <c r="N131" s="62" t="n"/>
      <c r="O131" s="59" t="n"/>
    </row>
    <row r="132" ht="22.35" customHeight="1" s="38">
      <c r="A132" s="62" t="inlineStr">
        <is>
          <t>P7-05</t>
        </is>
      </c>
      <c r="B132" s="59" t="inlineStr">
        <is>
          <t>P7 - Hardening</t>
        </is>
      </c>
      <c r="C132" s="59" t="inlineStr">
        <is>
          <t>TL</t>
        </is>
      </c>
      <c r="D132" s="59" t="inlineStr">
        <is>
          <t>Rà soát Nghị định 13/2023: mã hoá PII, chính sách xoá, đồng ý người dùng</t>
        </is>
      </c>
      <c r="E132" s="59" t="inlineStr">
        <is>
          <t>Có bản tự đánh giá tuân thủ</t>
        </is>
      </c>
      <c r="F132" s="62" t="inlineStr">
        <is>
          <t>TL</t>
        </is>
      </c>
      <c r="G132" s="59" t="n"/>
      <c r="H132" s="63" t="n">
        <v>3</v>
      </c>
      <c r="I132" s="62" t="inlineStr">
        <is>
          <t>P0-Bắt buộc</t>
        </is>
      </c>
      <c r="J132" s="59" t="n"/>
      <c r="K132" s="62" t="inlineStr">
        <is>
          <t>Chưa bắt đầu</t>
        </is>
      </c>
      <c r="L132" s="64" t="n">
        <v>0</v>
      </c>
      <c r="M132" s="63">
        <f>H132*(1-L132)</f>
        <v/>
      </c>
      <c r="N132" s="62" t="n"/>
      <c r="O132" s="59" t="inlineStr">
        <is>
          <t>core/security.py đã mã hoá CCCD at-rest — nền tốt, cần rà soát toàn diện</t>
        </is>
      </c>
    </row>
    <row r="133" ht="15" customHeight="1" s="38">
      <c r="A133" s="62" t="inlineStr">
        <is>
          <t>P7-06</t>
        </is>
      </c>
      <c r="B133" s="59" t="inlineStr">
        <is>
          <t>P7 - Hardening</t>
        </is>
      </c>
      <c r="C133" s="59" t="inlineStr">
        <is>
          <t>Backend</t>
        </is>
      </c>
      <c r="D133" s="59" t="inlineStr">
        <is>
          <t>Chuẩn bị đa thành phố: cấu hình vùng, bảng giá theo vùng</t>
        </is>
      </c>
      <c r="E133" s="59" t="inlineStr">
        <is>
          <t>Thêm thành phố thứ 2 không cần sửa code</t>
        </is>
      </c>
      <c r="F133" s="62" t="inlineStr">
        <is>
          <t>BE</t>
        </is>
      </c>
      <c r="G133" s="59" t="n"/>
      <c r="H133" s="63" t="n">
        <v>4</v>
      </c>
      <c r="I133" s="62" t="inlineStr">
        <is>
          <t>P2-Trung bình</t>
        </is>
      </c>
      <c r="J133" s="59" t="inlineStr">
        <is>
          <t>P5 xong</t>
        </is>
      </c>
      <c r="K133" s="62" t="inlineStr">
        <is>
          <t>Chưa bắt đầu</t>
        </is>
      </c>
      <c r="L133" s="64" t="n">
        <v>0</v>
      </c>
      <c r="M133" s="63">
        <f>H133*(1-L133)</f>
        <v/>
      </c>
      <c r="N133" s="62" t="n"/>
      <c r="O133" s="59" t="n"/>
    </row>
    <row r="134" ht="15" customHeight="1" s="38">
      <c r="A134" s="62" t="inlineStr">
        <is>
          <t>P7-07</t>
        </is>
      </c>
      <c r="B134" s="59" t="inlineStr">
        <is>
          <t>P7 - Hardening</t>
        </is>
      </c>
      <c r="C134" s="59" t="inlineStr">
        <is>
          <t>TL</t>
        </is>
      </c>
      <c r="D134" s="59" t="inlineStr">
        <is>
          <t>Tài liệu vận hành + đào tạo đội CSKH và Ops</t>
        </is>
      </c>
      <c r="E134" s="59" t="inlineStr">
        <is>
          <t>CSKH xử lý được ticket không cần hỏi dev</t>
        </is>
      </c>
      <c r="F134" s="62" t="inlineStr">
        <is>
          <t>TL</t>
        </is>
      </c>
      <c r="G134" s="59" t="n"/>
      <c r="H134" s="63" t="n">
        <v>3</v>
      </c>
      <c r="I134" s="62" t="inlineStr">
        <is>
          <t>P0-Bắt buộc</t>
        </is>
      </c>
      <c r="J134" s="59" t="inlineStr">
        <is>
          <t>P2 xong</t>
        </is>
      </c>
      <c r="K134" s="62" t="inlineStr">
        <is>
          <t>Chưa bắt đầu</t>
        </is>
      </c>
      <c r="L134" s="64" t="n">
        <v>0</v>
      </c>
      <c r="M134" s="63">
        <f>H134*(1-L134)</f>
        <v/>
      </c>
      <c r="N134" s="62" t="n"/>
      <c r="O134" s="59" t="n"/>
    </row>
    <row r="135" ht="15" customHeight="1" s="38">
      <c r="A135" s="62" t="inlineStr">
        <is>
          <t>P7-08</t>
        </is>
      </c>
      <c r="B135" s="59" t="inlineStr">
        <is>
          <t>P7 - Hardening</t>
        </is>
      </c>
      <c r="C135" s="59" t="inlineStr">
        <is>
          <t>Mobile</t>
        </is>
      </c>
      <c r="D135" s="59" t="inlineStr">
        <is>
          <t>Nộp store: App Store + Google Play (cả 2 app)</t>
        </is>
      </c>
      <c r="E135" s="59" t="inlineStr">
        <is>
          <t>4 bản app được duyệt</t>
        </is>
      </c>
      <c r="F135" s="62" t="inlineStr">
        <is>
          <t>MOB</t>
        </is>
      </c>
      <c r="G135" s="59" t="n"/>
      <c r="H135" s="63" t="n">
        <v>4</v>
      </c>
      <c r="I135" s="62" t="inlineStr">
        <is>
          <t>P0-Bắt buộc</t>
        </is>
      </c>
      <c r="J135" s="59" t="inlineStr">
        <is>
          <t>P4 xong</t>
        </is>
      </c>
      <c r="K135" s="62" t="inlineStr">
        <is>
          <t>Chưa bắt đầu</t>
        </is>
      </c>
      <c r="L135" s="64" t="n">
        <v>0</v>
      </c>
      <c r="M135" s="63">
        <f>H135*(1-L135)</f>
        <v/>
      </c>
      <c r="N135" s="62" t="n"/>
      <c r="O135" s="59" t="n"/>
    </row>
    <row r="137" ht="15" customHeight="1" s="38">
      <c r="D137" s="54" t="inlineStr">
        <is>
          <t>TỔNG CỘNG</t>
        </is>
      </c>
      <c r="H137" s="65">
        <f>SUM(H5:H135)</f>
        <v/>
      </c>
      <c r="M137" s="65">
        <f>SUM(M5:M135)</f>
        <v/>
      </c>
    </row>
  </sheetData>
  <autoFilter ref="A4:O135"/>
  <mergeCells count="2">
    <mergeCell ref="A1:O1"/>
    <mergeCell ref="A2:O2"/>
  </mergeCells>
  <conditionalFormatting sqref="K5:K135">
    <cfRule type="cellIs" rank="0" priority="2" equalAverage="0" operator="equal" aboveAverage="0" dxfId="1" text="" percent="0" bottom="0">
      <formula>"Đã xong"</formula>
    </cfRule>
    <cfRule type="cellIs" rank="0" priority="3" equalAverage="0" operator="equal" aboveAverage="0" dxfId="2" text="" percent="0" bottom="0">
      <formula>"Đang làm"</formula>
    </cfRule>
    <cfRule type="cellIs" rank="0" priority="4" equalAverage="0" operator="equal" aboveAverage="0" dxfId="0" text="" percent="0" bottom="0">
      <formula>"Bị chặn"</formula>
    </cfRule>
    <cfRule type="cellIs" rank="0" priority="5" equalAverage="0" operator="equal" aboveAverage="0" dxfId="11" text="" percent="0" bottom="0">
      <formula>"Chưa bắt đầu"</formula>
    </cfRule>
  </conditionalFormatting>
  <conditionalFormatting sqref="L5:L135">
    <cfRule type="dataBar" priority="6">
      <dataBar minLength="10" maxLength="90" showValue="1">
        <cfvo type="num" val="0"/>
        <cfvo type="num" val="1"/>
        <color rgb="FF63C384"/>
      </dataBar>
    </cfRule>
  </conditionalFormatting>
  <conditionalFormatting sqref="I5:I135">
    <cfRule type="cellIs" rank="0" priority="7" equalAverage="0" operator="equal" aboveAverage="0" dxfId="12" text="" percent="0" bottom="0">
      <formula>"P0-Bắt buộc"</formula>
    </cfRule>
  </conditionalFormatting>
  <dataValidations count="2">
    <dataValidation sqref="K5:K135" showDropDown="0" showInputMessage="0" showErrorMessage="0" allowBlank="1" type="list" errorStyle="stop" operator="between">
      <formula1>Lists!$A$2:$A$5</formula1>
      <formula2>0</formula2>
    </dataValidation>
    <dataValidation sqref="I5:I135" showDropDown="0" showInputMessage="0" showErrorMessage="0" allowBlank="1" type="list" errorStyle="stop" operator="between">
      <formula1>Lists!$B$2:$B$5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37" min="1" max="2"/>
    <col width="10" customWidth="1" style="37" min="3" max="3"/>
    <col width="26" customWidth="1" style="37" min="4" max="4"/>
  </cols>
  <sheetData>
    <row r="1" ht="15" customHeight="1" s="38">
      <c r="A1" s="66" t="inlineStr">
        <is>
          <t>Trạng thái</t>
        </is>
      </c>
      <c r="B1" s="66" t="inlineStr">
        <is>
          <t>Ưu tiên</t>
        </is>
      </c>
      <c r="C1" s="66" t="inlineStr">
        <is>
          <t>Vai trò</t>
        </is>
      </c>
      <c r="D1" s="66" t="inlineStr">
        <is>
          <t>Giai đoạn</t>
        </is>
      </c>
    </row>
    <row r="2" ht="15" customHeight="1" s="38">
      <c r="A2" s="43" t="inlineStr">
        <is>
          <t>Chưa bắt đầu</t>
        </is>
      </c>
      <c r="B2" s="43" t="inlineStr">
        <is>
          <t>P0-Bắt buộc</t>
        </is>
      </c>
      <c r="C2" s="43" t="inlineStr">
        <is>
          <t>TL</t>
        </is>
      </c>
      <c r="D2" s="43" t="inlineStr">
        <is>
          <t>P0 - Dọn nền</t>
        </is>
      </c>
    </row>
    <row r="3" ht="15" customHeight="1" s="38">
      <c r="A3" s="43" t="inlineStr">
        <is>
          <t>Đang làm</t>
        </is>
      </c>
      <c r="B3" s="43" t="inlineStr">
        <is>
          <t>P1-Cao</t>
        </is>
      </c>
      <c r="C3" s="43" t="inlineStr">
        <is>
          <t>BE</t>
        </is>
      </c>
      <c r="D3" s="43" t="inlineStr">
        <is>
          <t>P1 - IAM &amp; Console khung</t>
        </is>
      </c>
    </row>
    <row r="4" ht="15" customHeight="1" s="38">
      <c r="A4" s="43" t="inlineStr">
        <is>
          <t>Đã xong</t>
        </is>
      </c>
      <c r="B4" s="43" t="inlineStr">
        <is>
          <t>P2-Trung bình</t>
        </is>
      </c>
      <c r="C4" s="43" t="inlineStr">
        <is>
          <t>MOB</t>
        </is>
      </c>
      <c r="D4" s="43" t="inlineStr">
        <is>
          <t>P2 - Chat &amp; Support</t>
        </is>
      </c>
    </row>
    <row r="5" ht="15" customHeight="1" s="38">
      <c r="A5" s="43" t="inlineStr">
        <is>
          <t>Bị chặn</t>
        </is>
      </c>
      <c r="B5" s="43" t="inlineStr">
        <is>
          <t>P3-Thấp</t>
        </is>
      </c>
      <c r="C5" s="43" t="inlineStr">
        <is>
          <t>FE</t>
        </is>
      </c>
      <c r="D5" s="43" t="inlineStr">
        <is>
          <t>P3 - Driver App</t>
        </is>
      </c>
    </row>
    <row r="6" ht="15" customHeight="1" s="38">
      <c r="D6" s="43" t="inlineStr">
        <is>
          <t>P4 - Rider App</t>
        </is>
      </c>
    </row>
    <row r="7" ht="15" customHeight="1" s="38">
      <c r="D7" s="43" t="inlineStr">
        <is>
          <t>P5 - Ledger &amp; Finance</t>
        </is>
      </c>
    </row>
    <row r="8" ht="15" customHeight="1" s="38">
      <c r="D8" s="43" t="inlineStr">
        <is>
          <t>P6 - Partner &amp; Website</t>
        </is>
      </c>
    </row>
    <row r="9" ht="15" customHeight="1" s="38">
      <c r="D9" s="43" t="inlineStr">
        <is>
          <t>P7 - Hardening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37" min="1" max="1"/>
    <col width="26" customWidth="1" style="37" min="2" max="2"/>
    <col width="42" customWidth="1" style="37" min="3" max="3"/>
    <col width="13" customWidth="1" style="37" min="4" max="4"/>
    <col width="12" customWidth="1" style="37" min="5" max="5"/>
    <col width="14" customWidth="1" style="37" min="6" max="6"/>
    <col width="16" customWidth="1" style="37" min="7" max="7"/>
    <col width="14" customWidth="1" style="37" min="8" max="8"/>
    <col width="46" customWidth="1" style="37" min="9" max="9"/>
  </cols>
  <sheetData>
    <row r="1" ht="24" customHeight="1" s="38">
      <c r="A1" s="39" t="inlineStr">
        <is>
          <t>ĐỘI NGŨ &amp; NĂNG LỰC</t>
        </is>
      </c>
    </row>
    <row r="2" ht="15" customHeight="1" s="38">
      <c r="A2" s="40" t="inlineStr">
        <is>
          <t>Cột G tự cộng từ Backlog theo vai trò. Cột H cho thấy ai là điểm nghẽn của dự án.</t>
        </is>
      </c>
    </row>
    <row r="4" ht="31.5" customHeight="1" s="38">
      <c r="A4" s="45" t="inlineStr">
        <is>
          <t>Mã</t>
        </is>
      </c>
      <c r="B4" s="45" t="inlineStr">
        <is>
          <t>Vai trò</t>
        </is>
      </c>
      <c r="C4" s="45" t="inlineStr">
        <is>
          <t>Phạm vi công việc</t>
        </is>
      </c>
      <c r="D4" s="45" t="inlineStr">
        <is>
          <t>Ngày hiệu quả / sprint</t>
        </is>
      </c>
      <c r="E4" s="45" t="inlineStr">
        <is>
          <t>Hệ số sẵn sàng</t>
        </is>
      </c>
      <c r="F4" s="45" t="inlineStr">
        <is>
          <t>Năng lực thực / sprint</t>
        </is>
      </c>
      <c r="G4" s="45" t="inlineStr">
        <is>
          <t>Ngày công còn lại được giao</t>
        </is>
      </c>
      <c r="H4" s="45" t="inlineStr">
        <is>
          <t>Số sprint để làm hết</t>
        </is>
      </c>
      <c r="I4" s="45" t="inlineStr">
        <is>
          <t>Ghi chú</t>
        </is>
      </c>
    </row>
    <row r="5" ht="23.85" customHeight="1" s="38">
      <c r="A5" s="46" t="inlineStr">
        <is>
          <t>TL</t>
        </is>
      </c>
      <c r="B5" s="46" t="inlineStr">
        <is>
          <t>Tech Lead / Full-stack</t>
        </is>
      </c>
      <c r="C5" s="46" t="inlineStr">
        <is>
          <t>Kiến trúc, backend lõi, DevOps, review code, tài liệu</t>
        </is>
      </c>
      <c r="D5" s="47" t="n">
        <v>8</v>
      </c>
      <c r="E5" s="49" t="n">
        <v>0.7</v>
      </c>
      <c r="F5" s="48">
        <f>D5*E5</f>
        <v/>
      </c>
      <c r="G5" s="48">
        <f>SUMIFS(Backlog!$M$5:$M$135,Backlog!$F$5:$F$135,$A5)</f>
        <v/>
      </c>
      <c r="H5" s="48">
        <f>IFERROR(ROUND(G5/F5,1),0)</f>
        <v/>
      </c>
      <c r="I5" s="46" t="inlineStr">
        <is>
          <t>Kiêm DevOps nên chỉ ~70% thời gian cho task trong bảng</t>
        </is>
      </c>
    </row>
    <row r="6" ht="23.85" customHeight="1" s="38">
      <c r="A6" s="46" t="inlineStr">
        <is>
          <t>BE</t>
        </is>
      </c>
      <c r="B6" s="46" t="inlineStr">
        <is>
          <t>Backend Engineer (Python)</t>
        </is>
      </c>
      <c r="C6" s="46" t="inlineStr">
        <is>
          <t>FastAPI, domain services, migration, tích hợp bên thứ 3</t>
        </is>
      </c>
      <c r="D6" s="47" t="n">
        <v>8</v>
      </c>
      <c r="E6" s="49" t="n">
        <v>0.9</v>
      </c>
      <c r="F6" s="48">
        <f>D6*E6</f>
        <v/>
      </c>
      <c r="G6" s="48">
        <f>SUMIFS(Backlog!$M$5:$M$135,Backlog!$F$5:$F$135,$A6)</f>
        <v/>
      </c>
      <c r="H6" s="48">
        <f>IFERROR(ROUND(G6/F6,1),0)</f>
        <v/>
      </c>
      <c r="I6" s="46" t="n"/>
    </row>
    <row r="7" ht="23.85" customHeight="1" s="38">
      <c r="A7" s="46" t="inlineStr">
        <is>
          <t>MOB</t>
        </is>
      </c>
      <c r="B7" s="46" t="inlineStr">
        <is>
          <t>Mobile Engineer (RN/Expo)</t>
        </is>
      </c>
      <c r="C7" s="46" t="inlineStr">
        <is>
          <t>App tài xế + app khách</t>
        </is>
      </c>
      <c r="D7" s="47" t="n">
        <v>8</v>
      </c>
      <c r="E7" s="49" t="n">
        <v>0.9</v>
      </c>
      <c r="F7" s="48">
        <f>D7*E7</f>
        <v/>
      </c>
      <c r="G7" s="48">
        <f>SUMIFS(Backlog!$M$5:$M$135,Backlog!$F$5:$F$135,$A7)</f>
        <v/>
      </c>
      <c r="H7" s="48">
        <f>IFERROR(ROUND(G7/F7,1),0)</f>
        <v/>
      </c>
      <c r="I7" s="46" t="inlineStr">
        <is>
          <t>ĐIỂM NGHẼN: 1 người gánh cả 2 app — xem sheet Rủi ro</t>
        </is>
      </c>
    </row>
    <row r="8" ht="15" customHeight="1" s="38">
      <c r="A8" s="46" t="inlineStr">
        <is>
          <t>FE</t>
        </is>
      </c>
      <c r="B8" s="46" t="inlineStr">
        <is>
          <t>Frontend Engineer + QA</t>
        </is>
      </c>
      <c r="C8" s="46" t="inlineStr">
        <is>
          <t>Console, Partner Portal, Website, kiểm thử</t>
        </is>
      </c>
      <c r="D8" s="47" t="n">
        <v>8</v>
      </c>
      <c r="E8" s="49" t="n">
        <v>0.9</v>
      </c>
      <c r="F8" s="48">
        <f>D8*E8</f>
        <v/>
      </c>
      <c r="G8" s="48">
        <f>SUMIFS(Backlog!$M$5:$M$135,Backlog!$F$5:$F$135,$A8)</f>
        <v/>
      </c>
      <c r="H8" s="48">
        <f>IFERROR(ROUND(G8/F8,1),0)</f>
        <v/>
      </c>
      <c r="I8" s="46" t="inlineStr">
        <is>
          <t>Kiêm QA nên tải thực tế cao</t>
        </is>
      </c>
    </row>
    <row r="9" ht="15" customHeight="1" s="38">
      <c r="A9" s="50" t="n"/>
      <c r="B9" s="50" t="inlineStr">
        <is>
          <t>TỔNG</t>
        </is>
      </c>
      <c r="C9" s="50" t="n"/>
      <c r="D9" s="51" t="n"/>
      <c r="E9" s="53" t="n"/>
      <c r="F9" s="52">
        <f>SUM(F5:F8)</f>
        <v/>
      </c>
      <c r="G9" s="52">
        <f>SUM(G5:G8)</f>
        <v/>
      </c>
      <c r="H9" s="52" t="n"/>
      <c r="I9" s="50" t="n"/>
    </row>
    <row r="11" ht="15" customHeight="1" s="38">
      <c r="A11" s="44" t="inlineStr">
        <is>
          <t>CÁCH ĐỌC</t>
        </is>
      </c>
    </row>
    <row r="12" ht="15" customHeight="1" s="38">
      <c r="A12" s="67" t="inlineStr">
        <is>
          <t>• Cột H tô đỏ khi vượt 12 sprint (≈6 tháng) — vai trò đó một mình đã kéo dài dự án quá nửa năm.</t>
        </is>
      </c>
    </row>
    <row r="13" ht="15" customHeight="1" s="38">
      <c r="A13" s="67" t="inlineStr">
        <is>
          <t>• Ở trạng thái hiện tại, BE là vai trò nặng nhất (≈24 sprint), không phải MOB. Đây là đường găng thật — xem Rủi ro R1.</t>
        </is>
      </c>
    </row>
    <row r="14" ht="15" customHeight="1" s="38">
      <c r="A14" s="67" t="inlineStr">
        <is>
          <t>• Cách cân tải rẻ nhất: Tech Lead nhận bớt ~40% khối lượng backend (đổi cột Vai trò của các task backend sang TL) và tăng hệ số sẵn sàng của TL.</t>
        </is>
      </c>
    </row>
    <row r="15" ht="15" customHeight="1" s="38">
      <c r="A15" s="67" t="inlineStr">
        <is>
          <t>• Hệ số sẵn sàng: TL để 70% vì kiêm DevOps và review; các vai trò khác 90% (10% cho họp, hỗ trợ, sự cố).</t>
        </is>
      </c>
    </row>
    <row r="16" ht="15" customHeight="1" s="38">
      <c r="A16" s="67" t="inlineStr">
        <is>
          <t>• Cột G chỉ tính phần CÒN LẠI (đã trừ % hoàn thành), nên sẽ giảm dần khi đội cập nhật Backlog.</t>
        </is>
      </c>
    </row>
  </sheetData>
  <mergeCells count="7">
    <mergeCell ref="A15:I15"/>
    <mergeCell ref="A2:I2"/>
    <mergeCell ref="A13:I13"/>
    <mergeCell ref="A14:I14"/>
    <mergeCell ref="A1:I1"/>
    <mergeCell ref="A12:I12"/>
    <mergeCell ref="A16:I16"/>
  </mergeCells>
  <conditionalFormatting sqref="H5:H8">
    <cfRule type="cellIs" rank="0" priority="2" equalAverage="0" operator="greaterThan" aboveAverage="0" dxfId="13" text="" percent="0" bottom="0">
      <formula>12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37" min="1" max="2"/>
    <col width="16" customWidth="1" style="37" min="3" max="3"/>
    <col width="70" customWidth="1" style="37" min="4" max="4"/>
    <col width="44" customWidth="1" style="37" min="5" max="5"/>
  </cols>
  <sheetData>
    <row r="1" ht="24" customHeight="1" s="38">
      <c r="A1" s="39" t="inlineStr">
        <is>
          <t>KẾ HOẠCH SPRINT — 2 tuần/sprint</t>
        </is>
      </c>
    </row>
    <row r="2" ht="15" customHeight="1" s="38">
      <c r="A2" s="40" t="inlineStr">
        <is>
          <t>Kế hoạch chỉ dẫn, không cứng nhắc. Điều chỉnh sau mỗi buổi họp rút kinh nghiệm cuối sprint.</t>
        </is>
      </c>
    </row>
    <row r="4" ht="31.5" customHeight="1" s="38">
      <c r="A4" s="45" t="inlineStr">
        <is>
          <t>Sprint</t>
        </is>
      </c>
      <c r="B4" s="45" t="inlineStr">
        <is>
          <t>Tuần</t>
        </is>
      </c>
      <c r="C4" s="45" t="inlineStr">
        <is>
          <t>Giai đoạn chính</t>
        </is>
      </c>
      <c r="D4" s="45" t="inlineStr">
        <is>
          <t>Mục tiêu sprint (kết quả nhìn thấy được)</t>
        </is>
      </c>
      <c r="E4" s="45" t="inlineStr">
        <is>
          <t>Cột mốc</t>
        </is>
      </c>
    </row>
    <row r="5" ht="15" customHeight="1" s="38">
      <c r="A5" s="47" t="inlineStr">
        <is>
          <t>S1</t>
        </is>
      </c>
      <c r="B5" s="47" t="inlineStr">
        <is>
          <t>1-2</t>
        </is>
      </c>
      <c r="C5" s="47" t="inlineStr">
        <is>
          <t>P0</t>
        </is>
      </c>
      <c r="D5" s="46" t="inlineStr">
        <is>
          <t>Monorepo dựng xong, CI xanh, xoá backend cũ, sinh api-client tự động</t>
        </is>
      </c>
      <c r="E5" s="46" t="n"/>
    </row>
    <row r="6" ht="15" customHeight="1" s="38">
      <c r="A6" s="68" t="inlineStr">
        <is>
          <t>S2</t>
        </is>
      </c>
      <c r="B6" s="68" t="inlineStr">
        <is>
          <t>3-4</t>
        </is>
      </c>
      <c r="C6" s="68" t="inlineStr">
        <is>
          <t>P0</t>
        </is>
      </c>
      <c r="D6" s="69" t="inlineStr">
        <is>
          <t>Staging chạy, secret tách khỏi repo, backup PITR, rate limit + idempotency trên Redis</t>
        </is>
      </c>
      <c r="E6" s="70" t="inlineStr">
        <is>
          <t>MỐC: có môi trường staging</t>
        </is>
      </c>
    </row>
    <row r="7" ht="15" customHeight="1" s="38">
      <c r="A7" s="47" t="inlineStr">
        <is>
          <t>S3</t>
        </is>
      </c>
      <c r="B7" s="47" t="inlineStr">
        <is>
          <t>5-6</t>
        </is>
      </c>
      <c r="C7" s="47" t="inlineStr">
        <is>
          <t>P0 → P1</t>
        </is>
      </c>
      <c r="D7" s="46" t="inlineStr">
        <is>
          <t>Xoay vòng refresh token, audit log, khởi động domains/iam</t>
        </is>
      </c>
      <c r="E7" s="46" t="n"/>
    </row>
    <row r="8" ht="15" customHeight="1" s="38">
      <c r="A8" s="47" t="inlineStr">
        <is>
          <t>S4</t>
        </is>
      </c>
      <c r="B8" s="47" t="inlineStr">
        <is>
          <t>7-8</t>
        </is>
      </c>
      <c r="C8" s="47" t="inlineStr">
        <is>
          <t>P1</t>
        </is>
      </c>
      <c r="D8" s="46" t="inlineStr">
        <is>
          <t>Đăng nhập nội bộ 2FA, permission, khung maker-checker, Console scaffold</t>
        </is>
      </c>
      <c r="E8" s="46" t="n"/>
    </row>
    <row r="9" ht="15" customHeight="1" s="38">
      <c r="A9" s="68" t="inlineStr">
        <is>
          <t>S5</t>
        </is>
      </c>
      <c r="B9" s="68" t="inlineStr">
        <is>
          <t>9-10</t>
        </is>
      </c>
      <c r="C9" s="68" t="inlineStr">
        <is>
          <t>P1</t>
        </is>
      </c>
      <c r="D9" s="69" t="inlineStr">
        <is>
          <t>Console: IAM + Driver Ops duyệt hồ sơ</t>
        </is>
      </c>
      <c r="E9" s="70" t="inlineStr">
        <is>
          <t>MỐC: duyệt hồ sơ tài xế không cần vào DB</t>
        </is>
      </c>
    </row>
    <row r="10" ht="15" customHeight="1" s="38">
      <c r="A10" s="68" t="inlineStr">
        <is>
          <t>S6</t>
        </is>
      </c>
      <c r="B10" s="68" t="inlineStr">
        <is>
          <t>11-12</t>
        </is>
      </c>
      <c r="C10" s="68" t="inlineStr">
        <is>
          <t>P1</t>
        </is>
      </c>
      <c r="D10" s="69" t="inlineStr">
        <is>
          <t>Console: Live Ops map + danh sách chuyến + tua lộ trình</t>
        </is>
      </c>
      <c r="E10" s="70" t="inlineStr">
        <is>
          <t>MỐC: Console dùng được cho vận hành</t>
        </is>
      </c>
    </row>
    <row r="11" ht="15" customHeight="1" s="38">
      <c r="A11" s="47" t="inlineStr">
        <is>
          <t>S7</t>
        </is>
      </c>
      <c r="B11" s="47" t="inlineStr">
        <is>
          <t>13-14</t>
        </is>
      </c>
      <c r="C11" s="47" t="inlineStr">
        <is>
          <t>P2</t>
        </is>
      </c>
      <c r="D11" s="46" t="inlineStr">
        <is>
          <t>Data model chat, chat service, WS gateway đa topic</t>
        </is>
      </c>
      <c r="E11" s="46" t="n"/>
    </row>
    <row r="12" ht="15" customHeight="1" s="38">
      <c r="A12" s="47" t="inlineStr">
        <is>
          <t>S8</t>
        </is>
      </c>
      <c r="B12" s="47" t="inlineStr">
        <is>
          <t>15-16</t>
        </is>
      </c>
      <c r="C12" s="47" t="inlineStr">
        <is>
          <t>P2</t>
        </is>
      </c>
      <c r="D12" s="46" t="inlineStr">
        <is>
          <t>domains/support, SLA, phân công, push FCM</t>
        </is>
      </c>
      <c r="E12" s="46" t="n"/>
    </row>
    <row r="13" ht="15" customHeight="1" s="38">
      <c r="A13" s="68" t="inlineStr">
        <is>
          <t>S9</t>
        </is>
      </c>
      <c r="B13" s="68" t="inlineStr">
        <is>
          <t>17-18</t>
        </is>
      </c>
      <c r="C13" s="68" t="inlineStr">
        <is>
          <t>P2</t>
        </is>
      </c>
      <c r="D13" s="69" t="inlineStr">
        <is>
          <t>Console Support Desk + chat 3 bên + realtime-client</t>
        </is>
      </c>
      <c r="E13" s="70" t="inlineStr">
        <is>
          <t>MỐC: CSKH chat được với khách và tài xế</t>
        </is>
      </c>
    </row>
    <row r="14" ht="23.85" customHeight="1" s="38">
      <c r="A14" s="68" t="inlineStr">
        <is>
          <t>S10</t>
        </is>
      </c>
      <c r="B14" s="68" t="inlineStr">
        <is>
          <t>19-20</t>
        </is>
      </c>
      <c r="C14" s="68" t="inlineStr">
        <is>
          <t>P3</t>
        </is>
      </c>
      <c r="D14" s="69" t="inlineStr">
        <is>
          <t>Expo scaffold + auth + spike GPS nền (ưu tiên số 1)</t>
        </is>
      </c>
      <c r="E14" s="70" t="inlineStr">
        <is>
          <t>QUYẾT ĐỊNH: Expo managed hay development build</t>
        </is>
      </c>
    </row>
    <row r="15" ht="15" customHeight="1" s="38">
      <c r="A15" s="47" t="inlineStr">
        <is>
          <t>S11</t>
        </is>
      </c>
      <c r="B15" s="47" t="inlineStr">
        <is>
          <t>21-22</t>
        </is>
      </c>
      <c r="C15" s="47" t="inlineStr">
        <is>
          <t>P3</t>
        </is>
      </c>
      <c r="D15" s="46" t="inlineStr">
        <is>
          <t>Ca làm, QR động, nhận offer, điều hướng</t>
        </is>
      </c>
      <c r="E15" s="46" t="n"/>
    </row>
    <row r="16" ht="15" customHeight="1" s="38">
      <c r="A16" s="47" t="inlineStr">
        <is>
          <t>S12</t>
        </is>
      </c>
      <c r="B16" s="47" t="inlineStr">
        <is>
          <t>23-24</t>
        </is>
      </c>
      <c r="C16" s="47" t="inlineStr">
        <is>
          <t>P3</t>
        </is>
      </c>
      <c r="D16" s="46" t="inlineStr">
        <is>
          <t>GPS nền hoàn chỉnh, hàng đợi offline, tối ưu pin</t>
        </is>
      </c>
      <c r="E16" s="46" t="n"/>
    </row>
    <row r="17" ht="15" customHeight="1" s="38">
      <c r="A17" s="68" t="inlineStr">
        <is>
          <t>S13</t>
        </is>
      </c>
      <c r="B17" s="68" t="inlineStr">
        <is>
          <t>25-26</t>
        </is>
      </c>
      <c r="C17" s="68" t="inlineStr">
        <is>
          <t>P3</t>
        </is>
      </c>
      <c r="D17" s="69" t="inlineStr">
        <is>
          <t>Ví, ký quỹ, selfie, chat, phát hành nội bộ</t>
        </is>
      </c>
      <c r="E17" s="70" t="inlineStr">
        <is>
          <t>MỐC: 50 tài xế tiên phong chạy thật</t>
        </is>
      </c>
    </row>
    <row r="18" ht="15" customHeight="1" s="38">
      <c r="A18" s="47" t="inlineStr">
        <is>
          <t>S14</t>
        </is>
      </c>
      <c r="B18" s="47" t="inlineStr">
        <is>
          <t>27-28</t>
        </is>
      </c>
      <c r="C18" s="47" t="inlineStr">
        <is>
          <t>P4</t>
        </is>
      </c>
      <c r="D18" s="46" t="inlineStr">
        <is>
          <t>Rider scaffold, đặt xe, ước giá, theo dõi bản đồ</t>
        </is>
      </c>
      <c r="E18" s="46" t="n"/>
    </row>
    <row r="19" ht="15" customHeight="1" s="38">
      <c r="A19" s="47" t="inlineStr">
        <is>
          <t>S15</t>
        </is>
      </c>
      <c r="B19" s="47" t="inlineStr">
        <is>
          <t>29-30</t>
        </is>
      </c>
      <c r="C19" s="47" t="inlineStr">
        <is>
          <t>P4</t>
        </is>
      </c>
      <c r="D19" s="46" t="inlineStr">
        <is>
          <t>QR, thanh toán, chia sẻ hành trình, chat</t>
        </is>
      </c>
      <c r="E19" s="46" t="n"/>
    </row>
    <row r="20" ht="15" customHeight="1" s="38">
      <c r="A20" s="68" t="inlineStr">
        <is>
          <t>S16</t>
        </is>
      </c>
      <c r="B20" s="68" t="inlineStr">
        <is>
          <t>31-32</t>
        </is>
      </c>
      <c r="C20" s="68" t="inlineStr">
        <is>
          <t>P4 → P5</t>
        </is>
      </c>
      <c r="D20" s="69" t="inlineStr">
        <is>
          <t>Hoàn thiện app khách; khởi động thiết kế sổ kép</t>
        </is>
      </c>
      <c r="E20" s="70" t="inlineStr">
        <is>
          <t>MỐC: khách dùng app thật</t>
        </is>
      </c>
    </row>
    <row r="21" ht="15" customHeight="1" s="38">
      <c r="A21" s="47" t="inlineStr">
        <is>
          <t>S17</t>
        </is>
      </c>
      <c r="B21" s="47" t="inlineStr">
        <is>
          <t>33-34</t>
        </is>
      </c>
      <c r="C21" s="47" t="inlineStr">
        <is>
          <t>P5</t>
        </is>
      </c>
      <c r="D21" s="46" t="inlineStr">
        <is>
          <t>Sổ kép: migration + chuyển settlement</t>
        </is>
      </c>
      <c r="E21" s="46" t="n"/>
    </row>
    <row r="22" ht="15" customHeight="1" s="38">
      <c r="A22" s="47" t="inlineStr">
        <is>
          <t>S18</t>
        </is>
      </c>
      <c r="B22" s="47" t="inlineStr">
        <is>
          <t>35-36</t>
        </is>
      </c>
      <c r="C22" s="47" t="inlineStr">
        <is>
          <t>P5</t>
        </is>
      </c>
      <c r="D22" s="46" t="inlineStr">
        <is>
          <t>Payouts, invoices, payment state machine, VNPay thật</t>
        </is>
      </c>
      <c r="E22" s="46" t="n"/>
    </row>
    <row r="23" ht="15" customHeight="1" s="38">
      <c r="A23" s="68" t="inlineStr">
        <is>
          <t>S19</t>
        </is>
      </c>
      <c r="B23" s="68" t="inlineStr">
        <is>
          <t>37-38</t>
        </is>
      </c>
      <c r="C23" s="68" t="inlineStr">
        <is>
          <t>P5</t>
        </is>
      </c>
      <c r="D23" s="69" t="inlineStr">
        <is>
          <t>Console Finance + báo cáo unit economics</t>
        </is>
      </c>
      <c r="E23" s="70" t="inlineStr">
        <is>
          <t>MỐC: sổ sách kiểm toán được</t>
        </is>
      </c>
    </row>
    <row r="24" ht="15" customHeight="1" s="38">
      <c r="A24" s="47" t="inlineStr">
        <is>
          <t>S20</t>
        </is>
      </c>
      <c r="B24" s="47" t="inlineStr">
        <is>
          <t>39-40</t>
        </is>
      </c>
      <c r="C24" s="47" t="inlineStr">
        <is>
          <t>P6</t>
        </is>
      </c>
      <c r="D24" s="46" t="inlineStr">
        <is>
          <t>Partner Portal + API /partner/*</t>
        </is>
      </c>
      <c r="E24" s="46" t="n"/>
    </row>
    <row r="25" ht="15" customHeight="1" s="38">
      <c r="A25" s="68" t="inlineStr">
        <is>
          <t>S21</t>
        </is>
      </c>
      <c r="B25" s="68" t="inlineStr">
        <is>
          <t>41-42</t>
        </is>
      </c>
      <c r="C25" s="68" t="inlineStr">
        <is>
          <t>P6</t>
        </is>
      </c>
      <c r="D25" s="69" t="inlineStr">
        <is>
          <t>CMS + website + API public</t>
        </is>
      </c>
      <c r="E25" s="70" t="inlineStr">
        <is>
          <t>MỐC: goan.vn lên sóng</t>
        </is>
      </c>
    </row>
    <row r="26" ht="15" customHeight="1" s="38">
      <c r="A26" s="47" t="inlineStr">
        <is>
          <t>S22</t>
        </is>
      </c>
      <c r="B26" s="47" t="inlineStr">
        <is>
          <t>43-44</t>
        </is>
      </c>
      <c r="C26" s="47" t="inlineStr">
        <is>
          <t>P7</t>
        </is>
      </c>
      <c r="D26" s="46" t="inlineStr">
        <is>
          <t>Load test, tối ưu, pentest</t>
        </is>
      </c>
      <c r="E26" s="46" t="n"/>
    </row>
    <row r="27" ht="15" customHeight="1" s="38">
      <c r="A27" s="68" t="inlineStr">
        <is>
          <t>S23</t>
        </is>
      </c>
      <c r="B27" s="68" t="inlineStr">
        <is>
          <t>45-46</t>
        </is>
      </c>
      <c r="C27" s="68" t="inlineStr">
        <is>
          <t>P7</t>
        </is>
      </c>
      <c r="D27" s="69" t="inlineStr">
        <is>
          <t>Runbook, tuân thủ NĐ13, nộp store</t>
        </is>
      </c>
      <c r="E27" s="70" t="inlineStr">
        <is>
          <t>MỐC: sẵn sàng mở thành phố thứ 2</t>
        </is>
      </c>
    </row>
    <row r="30" ht="15" customHeight="1" s="38">
      <c r="A30" s="44" t="inlineStr">
        <is>
          <t>LƯU Ý VỀ LỊCH NÀY</t>
        </is>
      </c>
    </row>
    <row r="31" ht="15" customHeight="1" s="38">
      <c r="A31" s="67" t="inlineStr">
        <is>
          <t>• 23 sprint ≈ 46 tuần ≈ 11 tháng. Lịch này giả định các giai đoạn chạy tuần tự cho dễ theo dõi.</t>
        </is>
      </c>
    </row>
    <row r="32" ht="15" customHeight="1" s="38">
      <c r="A32" s="67" t="inlineStr">
        <is>
          <t>• Nếu để 3 luồng (backend / mobile / frontend) chạy song song đúng cách, đường găng rút còn ~17-18 sprint (≈8 tháng) — giới hạn bởi khối lượng backend.</t>
        </is>
      </c>
    </row>
    <row r="33" ht="15" customHeight="1" s="38">
      <c r="A33" s="67" t="inlineStr">
        <is>
          <t>• Hai quyết định rút ngắn lịch nhiều nhất: Tech Lead gánh bớt backend, và tuyển thêm 1 mobile trước S10.</t>
        </is>
      </c>
    </row>
    <row r="34" ht="15" customHeight="1" s="38">
      <c r="A34" s="67" t="inlineStr">
        <is>
          <t>• Chat/Support (S7-S9) đặt trước app là có chủ ý: web MVP còn dùng tạm được cho khách, nhưng không có kênh hỗ trợ thì mọi sự cố phải xử lý qua điện thoại cá nhân.</t>
        </is>
      </c>
    </row>
    <row r="35" ht="15" customHeight="1" s="38">
      <c r="A35" s="67" t="inlineStr">
        <is>
          <t>• P6 (Partner Portal + Website) là phần dễ thuê ngoài nhất nếu muốn rút ngắn lịch.</t>
        </is>
      </c>
    </row>
    <row r="36" ht="15" customHeight="1" s="38">
      <c r="A36" s="67" t="inlineStr">
        <is>
          <t>• Quyết định về nhánh tiền mặt phải chốt TRƯỚC S17, nếu không sẽ phải làm lại tầng sổ kép.</t>
        </is>
      </c>
    </row>
  </sheetData>
  <mergeCells count="8">
    <mergeCell ref="A34:E34"/>
    <mergeCell ref="A35:E35"/>
    <mergeCell ref="A2:E2"/>
    <mergeCell ref="A33:E33"/>
    <mergeCell ref="A1:E1"/>
    <mergeCell ref="A32:E32"/>
    <mergeCell ref="A36:E36"/>
    <mergeCell ref="A31:E3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7" customWidth="1" style="37" min="1" max="1"/>
    <col width="40" customWidth="1" style="37" min="2" max="2"/>
    <col width="15" customWidth="1" style="37" min="3" max="4"/>
    <col width="46" customWidth="1" style="37" min="5" max="5"/>
    <col width="52" customWidth="1" style="37" min="6" max="6"/>
    <col width="14" customWidth="1" style="37" min="7" max="7"/>
  </cols>
  <sheetData>
    <row r="1" ht="24" customHeight="1" s="38">
      <c r="A1" s="39" t="inlineStr">
        <is>
          <t>SỔ RỦI RO</t>
        </is>
      </c>
    </row>
    <row r="2" ht="15" customHeight="1" s="38">
      <c r="A2" s="40" t="inlineStr">
        <is>
          <t>Rà soát lại vào cuối mỗi sprint. Rủi ro R1 và R3 cần quyết định của ban lãnh đạo, không phải của đội kỹ thuật.</t>
        </is>
      </c>
    </row>
    <row r="4" ht="31.5" customHeight="1" s="38">
      <c r="A4" s="45" t="inlineStr">
        <is>
          <t>Mã</t>
        </is>
      </c>
      <c r="B4" s="45" t="inlineStr">
        <is>
          <t>Rủi ro</t>
        </is>
      </c>
      <c r="C4" s="45" t="inlineStr">
        <is>
          <t>Khả năng xảy ra</t>
        </is>
      </c>
      <c r="D4" s="45" t="inlineStr">
        <is>
          <t>Mức ảnh hưởng</t>
        </is>
      </c>
      <c r="E4" s="45" t="inlineStr">
        <is>
          <t>Hệ quả nếu xảy ra</t>
        </is>
      </c>
      <c r="F4" s="45" t="inlineStr">
        <is>
          <t>Cách giảm thiểu</t>
        </is>
      </c>
      <c r="G4" s="45" t="inlineStr">
        <is>
          <t>Người chịu trách nhiệm</t>
        </is>
      </c>
    </row>
    <row r="5" ht="32.8" customHeight="1" s="38">
      <c r="A5" s="60" t="inlineStr">
        <is>
          <t>R1</t>
        </is>
      </c>
      <c r="B5" s="59" t="inlineStr">
        <is>
          <t>Tải công việc lệch nặng về Backend — 1 người gánh ~174 ngày công</t>
        </is>
      </c>
      <c r="C5" s="60" t="inlineStr">
        <is>
          <t>Chắc chắn</t>
        </is>
      </c>
      <c r="D5" s="60" t="inlineStr">
        <is>
          <t>Nghiêm trọng</t>
        </is>
      </c>
      <c r="E5" s="59" t="inlineStr">
        <is>
          <t>Theo sheet Đội ngũ: BE cần ~24 sprint (≈11 tháng) một mình, trong khi MOB ~14 và FE ~16. Backend là đường găng thật của dự án, không phải mobile</t>
        </is>
      </c>
      <c r="F5" s="59" t="inlineStr">
        <is>
          <t>Ba lựa chọn: (a) Tech Lead nhận ~40% khối lượng backend, đưa BE về ~17 sprint; (b) tuyển thêm 1 backend từ P2; (c) thuê ngoài P6. Xem lại con số này sau mỗi sprint</t>
        </is>
      </c>
      <c r="G5" s="60" t="inlineStr">
        <is>
          <t>TL</t>
        </is>
      </c>
    </row>
    <row r="6" ht="22.35" customHeight="1" s="38">
      <c r="A6" s="60" t="inlineStr">
        <is>
          <t>R1b</t>
        </is>
      </c>
      <c r="B6" s="59" t="inlineStr">
        <is>
          <t>1 mobile engineer gánh cả app tài xế và app khách</t>
        </is>
      </c>
      <c r="C6" s="60" t="inlineStr">
        <is>
          <t>Rất cao</t>
        </is>
      </c>
      <c r="D6" s="60" t="inlineStr">
        <is>
          <t>Nghiêm trọng</t>
        </is>
      </c>
      <c r="E6" s="59" t="inlineStr">
        <is>
          <t>P3 + P4 khoảng 104 ngày công dồn vào 1 người ≈ 14 sprint liên tục, không có ai thay khi nghỉ ốm hoặc nghỉ việc</t>
        </is>
      </c>
      <c r="F6" s="59" t="inlineStr">
        <is>
          <t>Tuyển thêm 1 mobile trước S10, hoặc chấp nhận app khách lùi 3-4 tháng và dùng web MVP thay thế trong thời gian đó</t>
        </is>
      </c>
      <c r="G6" s="60" t="inlineStr">
        <is>
          <t>TL</t>
        </is>
      </c>
    </row>
    <row r="7" ht="22.35" customHeight="1" s="38">
      <c r="A7" s="60" t="inlineStr">
        <is>
          <t>R2</t>
        </is>
      </c>
      <c r="B7" s="59" t="inlineStr">
        <is>
          <t>GPS nền app tài xế bị hệ điều hành giết</t>
        </is>
      </c>
      <c r="C7" s="60" t="inlineStr">
        <is>
          <t>Cao</t>
        </is>
      </c>
      <c r="D7" s="60" t="inlineStr">
        <is>
          <t>Nghiêm trọng</t>
        </is>
      </c>
      <c r="E7" s="59" t="inlineStr">
        <is>
          <t>Chuyến mất điểm GPS → sai cước, sai đối soát chạy vòng, tài xế khiếu nại</t>
        </is>
      </c>
      <c r="F7" s="59" t="inlineStr">
        <is>
          <t>Làm spike kỹ thuật 3 ngày ngay đầu P3; nếu Expo managed không đạt thì chuyển development build</t>
        </is>
      </c>
      <c r="G7" s="60" t="inlineStr">
        <is>
          <t>MOB</t>
        </is>
      </c>
    </row>
    <row r="8" ht="22.35" customHeight="1" s="38">
      <c r="A8" s="60" t="inlineStr">
        <is>
          <t>R3</t>
        </is>
      </c>
      <c r="B8" s="59" t="inlineStr">
        <is>
          <t>Chưa quyết định có làm nhánh tiền mặt hay không</t>
        </is>
      </c>
      <c r="C8" s="60" t="inlineStr">
        <is>
          <t>Cao</t>
        </is>
      </c>
      <c r="D8" s="60" t="inlineStr">
        <is>
          <t>Nghiêm trọng</t>
        </is>
      </c>
      <c r="E8" s="59" t="inlineStr">
        <is>
          <t>Nếu quyết muộn sau khi đã làm sổ kép thì phải sửa lại toàn bộ tầng ledger</t>
        </is>
      </c>
      <c r="F8" s="59" t="inlineStr">
        <is>
          <t>Chốt trước khi bắt đầu P5. Thị trường lái hộ VN tiền mặt còn lớn nên khả năng cao là phải làm</t>
        </is>
      </c>
      <c r="G8" s="60" t="inlineStr">
        <is>
          <t>TL</t>
        </is>
      </c>
    </row>
    <row r="9" ht="22.35" customHeight="1" s="38">
      <c r="A9" s="60" t="inlineStr">
        <is>
          <t>R4</t>
        </is>
      </c>
      <c r="B9" s="59" t="inlineStr">
        <is>
          <t>Ledger chưa phải double-entry</t>
        </is>
      </c>
      <c r="C9" s="60" t="inlineStr">
        <is>
          <t>Chắc chắn</t>
        </is>
      </c>
      <c r="D9" s="60" t="inlineStr">
        <is>
          <t>Nghiêm trọng</t>
        </is>
      </c>
      <c r="E9" s="59" t="inlineStr">
        <is>
          <t>Không audit được dòng tiền khi gọi vốn Series A; đối soát chỉ phát hiện lệch tổng, không truy được nguyên nhân</t>
        </is>
      </c>
      <c r="F9" s="59" t="inlineStr">
        <is>
          <t>P5 là bắt buộc, không được cắt. Trong lúc chờ, bật cảnh báo khi job đối soát báo balanced = false</t>
        </is>
      </c>
      <c r="G9" s="60" t="inlineStr">
        <is>
          <t>BE</t>
        </is>
      </c>
    </row>
    <row r="10" ht="22.35" customHeight="1" s="38">
      <c r="A10" s="60" t="inlineStr">
        <is>
          <t>R5</t>
        </is>
      </c>
      <c r="B10" s="59" t="inlineStr">
        <is>
          <t>Đội 4 người cho 5 sản phẩm</t>
        </is>
      </c>
      <c r="C10" s="60" t="inlineStr">
        <is>
          <t>Chắc chắn</t>
        </is>
      </c>
      <c r="D10" s="60" t="inlineStr">
        <is>
          <t>Trung bình</t>
        </is>
      </c>
      <c r="E10" s="59" t="inlineStr">
        <is>
          <t>Tổng khối lượng vượt xa năng lực đội trong 6 tháng</t>
        </is>
      </c>
      <c r="F10" s="59" t="inlineStr">
        <is>
          <t>Bám đúng thứ tự phase, không làm song song. Partner Portal và Website (P6) có thể thuê ngoài</t>
        </is>
      </c>
      <c r="G10" s="60" t="inlineStr">
        <is>
          <t>TL</t>
        </is>
      </c>
    </row>
    <row r="11" ht="22.35" customHeight="1" s="38">
      <c r="A11" s="60" t="inlineStr">
        <is>
          <t>R6</t>
        </is>
      </c>
      <c r="B11" s="59" t="inlineStr">
        <is>
          <t>Phụ thuộc bên thứ 3 chưa ký hợp đồng (eKYC, VNPay, hoá đơn điện tử, bản đồ)</t>
        </is>
      </c>
      <c r="C11" s="60" t="inlineStr">
        <is>
          <t>Trung bình</t>
        </is>
      </c>
      <c r="D11" s="60" t="inlineStr">
        <is>
          <t>Nghiêm trọng</t>
        </is>
      </c>
      <c r="E11" s="59" t="inlineStr">
        <is>
          <t>Sandbox và hợp đồng thường mất 4-8 tuần, có thể chặn P3 và P5</t>
        </is>
      </c>
      <c r="F11" s="59" t="inlineStr">
        <is>
          <t>Khởi động đàm phán ngay từ P0, song song với việc code</t>
        </is>
      </c>
      <c r="G11" s="60" t="inlineStr">
        <is>
          <t>TL</t>
        </is>
      </c>
    </row>
    <row r="12" ht="22.35" customHeight="1" s="38">
      <c r="A12" s="60" t="inlineStr">
        <is>
          <t>R7</t>
        </is>
      </c>
      <c r="B12" s="59" t="inlineStr">
        <is>
          <t>CSKH quá tải khi mở rộng</t>
        </is>
      </c>
      <c r="C12" s="60" t="inlineStr">
        <is>
          <t>Trung bình</t>
        </is>
      </c>
      <c r="D12" s="60" t="inlineStr">
        <is>
          <t>Trung bình</t>
        </is>
      </c>
      <c r="E12" s="59" t="inlineStr">
        <is>
          <t>SLA phản hồi đầu vượt ngưỡng, khách bỏ đi</t>
        </is>
      </c>
      <c r="F12" s="59" t="inlineStr">
        <is>
          <t>Bot trả lời câu hỏi thường gặp + canned response ngay trong P2; theo dõi bảng SLA hàng tuần</t>
        </is>
      </c>
      <c r="G12" s="60" t="inlineStr">
        <is>
          <t>FE</t>
        </is>
      </c>
    </row>
    <row r="13" ht="15" customHeight="1" s="38">
      <c r="A13" s="60" t="inlineStr">
        <is>
          <t>R8</t>
        </is>
      </c>
      <c r="B13" s="59" t="inlineStr">
        <is>
          <t>Không có môi trường staging trong giai đoạn đầu</t>
        </is>
      </c>
      <c r="C13" s="60" t="inlineStr">
        <is>
          <t>Cao</t>
        </is>
      </c>
      <c r="D13" s="60" t="inlineStr">
        <is>
          <t>Trung bình</t>
        </is>
      </c>
      <c r="E13" s="59" t="inlineStr">
        <is>
          <t>Test trên production hoặc không test được tích hợp</t>
        </is>
      </c>
      <c r="F13" s="59" t="inlineStr">
        <is>
          <t>Đưa dựng staging lên đầu P0, không lùi</t>
        </is>
      </c>
      <c r="G13" s="60" t="inlineStr">
        <is>
          <t>TL</t>
        </is>
      </c>
    </row>
  </sheetData>
  <mergeCells count="2">
    <mergeCell ref="A2:G2"/>
    <mergeCell ref="A1:G1"/>
  </mergeCells>
  <conditionalFormatting sqref="D5:D13">
    <cfRule type="cellIs" rank="0" priority="2" equalAverage="0" operator="equal" aboveAverage="0" dxfId="14" text="" percent="0" bottom="0">
      <formula>"Nghiêm trọng"</formula>
    </cfRule>
  </conditionalFormatting>
  <conditionalFormatting sqref="C5:C13">
    <cfRule type="cellIs" rank="0" priority="3" equalAverage="0" operator="equal" aboveAverage="0" dxfId="0" text="" percent="0" bottom="0">
      <formula>"Chắc chắn"</formula>
    </cfRule>
    <cfRule type="cellIs" rank="0" priority="4" equalAverage="0" operator="equal" aboveAverage="0" dxfId="0" text="" percent="0" bottom="0">
      <formula>"Rất cao"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E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7" min="1" max="1"/>
    <col width="11" customWidth="1" style="37" min="2" max="2"/>
    <col width="16" customWidth="1" style="37" min="3" max="3"/>
    <col width="66" customWidth="1" style="37" min="4" max="4"/>
    <col width="54" customWidth="1" style="37" min="5" max="5"/>
  </cols>
  <sheetData>
    <row r="1" ht="24" customHeight="1" s="38">
      <c r="A1" s="39" t="inlineStr">
        <is>
          <t>NHẬT KÝ TRIỂN KHAI</t>
        </is>
      </c>
    </row>
    <row r="2" ht="15" customHeight="1" s="38">
      <c r="A2" s="40" t="inlineStr">
        <is>
          <t>Chỉ ghi việc đã chạy và đã kiểm chứng được, không ghi dự định. Nhánh: chore/p0-foundation</t>
        </is>
      </c>
    </row>
    <row r="4" ht="31.5" customHeight="1" s="38">
      <c r="A4" s="45" t="inlineStr">
        <is>
          <t>Ngày</t>
        </is>
      </c>
      <c r="B4" s="45" t="inlineStr">
        <is>
          <t>Commit</t>
        </is>
      </c>
      <c r="C4" s="45" t="inlineStr">
        <is>
          <t>Hạng mục</t>
        </is>
      </c>
      <c r="D4" s="45" t="inlineStr">
        <is>
          <t>Đã làm gì</t>
        </is>
      </c>
      <c r="E4" s="45" t="inlineStr">
        <is>
          <t>Bằng chứng kiểm chứng</t>
        </is>
      </c>
    </row>
    <row r="5" ht="43.25" customHeight="1" s="38">
      <c r="A5" s="71" t="inlineStr">
        <is>
          <t>03/09/2026</t>
        </is>
      </c>
      <c r="B5" s="72" t="inlineStr">
        <is>
          <t>cc30b41</t>
        </is>
      </c>
      <c r="C5" s="71" t="inlineStr">
        <is>
          <t>Cấu trúc</t>
        </is>
      </c>
      <c r="D5" s="59" t="inlineStr">
        <is>
          <t>Dựng monorepo: goan-backend-spec → services/api, goan-backend → services/_deprecated-api-v0 (kèm DEPRECATED.md), goan-customer-app → apps/customer-web, tài liệu → docs/. Thêm pnpm workspace, turbo, .editorconfig, README</t>
        </is>
      </c>
      <c r="E5" s="59" t="inlineStr">
        <is>
          <t>203 file thay đổi; 51/51 test vẫn xanh sau khi đổi đường dẫn</t>
        </is>
      </c>
    </row>
    <row r="6" ht="22.35" customHeight="1" s="38">
      <c r="A6" s="71" t="inlineStr">
        <is>
          <t>03/09/2026</t>
        </is>
      </c>
      <c r="B6" s="72" t="inlineStr">
        <is>
          <t>cc30b41</t>
        </is>
      </c>
      <c r="C6" s="71" t="inlineStr">
        <is>
          <t>Contract API</t>
        </is>
      </c>
      <c r="D6" s="59" t="inlineStr">
        <is>
          <t>scripts/export_openapi.py xuất OpenAPI; dựng packages/api-client (openapi-typescript + openapi-fetch) làm nguồn contract duy nhất cho mọi frontend</t>
        </is>
      </c>
      <c r="E6" s="59" t="inlineStr">
        <is>
          <t>33 đường dẫn, 54 schema; CI có job so bản sinh mới với openapi.json đã commit</t>
        </is>
      </c>
    </row>
    <row r="7" ht="22.35" customHeight="1" s="38">
      <c r="A7" s="71" t="inlineStr">
        <is>
          <t>03/09/2026</t>
        </is>
      </c>
      <c r="B7" s="72" t="inlineStr">
        <is>
          <t>cc30b41</t>
        </is>
      </c>
      <c r="C7" s="71" t="inlineStr">
        <is>
          <t>Chất lượng</t>
        </is>
      </c>
      <c r="D7" s="59" t="inlineStr">
        <is>
          <t>Cấu hình ruff (E,F,I,UP,B,C4,SIM,ASYNC) + mypy + Makefile; sửa 92 lỗi lint; ruff format toàn bộ services/api</t>
        </is>
      </c>
      <c r="E7" s="59" t="inlineStr">
        <is>
          <t>ruff check sạch, ruff format --check sạch trên 87 file</t>
        </is>
      </c>
    </row>
    <row r="8" ht="32.8" customHeight="1" s="38">
      <c r="A8" s="71" t="inlineStr">
        <is>
          <t>03/09/2026</t>
        </is>
      </c>
      <c r="B8" s="72" t="inlineStr">
        <is>
          <t>cc30b41</t>
        </is>
      </c>
      <c r="C8" s="71" t="inlineStr">
        <is>
          <t>Bảo mật</t>
        </is>
      </c>
      <c r="D8" s="59" t="inlineStr">
        <is>
          <t>Tách /health (liveness, không chạm DB) và /ready (readiness, trả 503). Rate limit đổi sang ZSET cửa sổ trượt + hạn mức riêng cho OTP và tạo chuyến. Access token 60 → 15 phút</t>
        </is>
      </c>
      <c r="E8" s="59" t="inlineStr">
        <is>
          <t>Đọc lại mã: cửa sổ cố định cũ cho gửi gấp đôi hạn mức OTP quanh ranh giới phút</t>
        </is>
      </c>
    </row>
    <row r="9" ht="22.35" customHeight="1" s="38">
      <c r="A9" s="71" t="inlineStr">
        <is>
          <t>03/09/2026</t>
        </is>
      </c>
      <c r="B9" s="72" t="inlineStr">
        <is>
          <t>ea79c35</t>
        </is>
      </c>
      <c r="C9" s="71" t="inlineStr">
        <is>
          <t>Kiểu dữ liệu</t>
        </is>
      </c>
      <c r="D9" s="59" t="inlineStr">
        <is>
          <t>mypy sạch toàn bộ. BUG THẬT #1: complete_trip chỉ kiểm dropoff_lat mà bỏ sót dropoff_lng → haversine_m nhận None</t>
        </is>
      </c>
      <c r="E9" s="59" t="inlineStr">
        <is>
          <t>mypy: Argument 4 to haversine_m has incompatible type float | None</t>
        </is>
      </c>
    </row>
    <row r="10" ht="22.35" customHeight="1" s="38">
      <c r="A10" s="71" t="inlineStr">
        <is>
          <t>03/09/2026</t>
        </is>
      </c>
      <c r="B10" s="72" t="inlineStr">
        <is>
          <t>ea79c35</t>
        </is>
      </c>
      <c r="C10" s="71" t="inlineStr">
        <is>
          <t>Kiểu dữ liệu</t>
        </is>
      </c>
      <c r="D10" s="59" t="inlineStr">
        <is>
          <t>BUG THẬT #2: ensure_utc trả datetime|None nên mọi phép trừ thời gian ở trips/fraud không an toàn kiểu → thêm overload (datetime vào thì datetime ra)</t>
        </is>
      </c>
      <c r="E10" s="59" t="inlineStr">
        <is>
          <t>mypy: No overload variant of __sub__ of datetime matches argument type None (2 chỗ)</t>
        </is>
      </c>
    </row>
    <row r="11" ht="22.35" customHeight="1" s="38">
      <c r="A11" s="71" t="inlineStr">
        <is>
          <t>03/09/2026</t>
        </is>
      </c>
      <c r="B11" s="72" t="inlineStr">
        <is>
          <t>ea79c35</t>
        </is>
      </c>
      <c r="C11" s="71" t="inlineStr">
        <is>
          <t>Kiểu dữ liệu</t>
        </is>
      </c>
      <c r="D11" s="59" t="inlineStr">
        <is>
          <t>BUG THẬT #3: notify_users nhận list bất biến nên caller truyền list[UUID] không khớp list[UUID|str] → đổi sang Sequence</t>
        </is>
      </c>
      <c r="E11" s="59" t="inlineStr">
        <is>
          <t>mypy: Argument 1 to notify_users has incompatible type list[UUID]</t>
        </is>
      </c>
    </row>
    <row r="12" ht="22.35" customHeight="1" s="38">
      <c r="A12" s="71" t="inlineStr">
        <is>
          <t>03/09/2026</t>
        </is>
      </c>
      <c r="B12" s="72" t="inlineStr">
        <is>
          <t>ea79c35</t>
        </is>
      </c>
      <c r="C12" s="71" t="inlineStr">
        <is>
          <t>CI</t>
        </is>
      </c>
      <c r="D12" s="59" t="inlineStr">
        <is>
          <t>Bỏ toàn bộ continue-on-error: mypy, pnpm install --frozen-lockfile, sinh api-client, typecheck và build đều chặn merge thật</t>
        </is>
      </c>
      <c r="E12" s="59" t="inlineStr">
        <is>
          <t>pnpm install xanh (244 gói), pnpm build xanh, @goan/api-client typecheck sạch</t>
        </is>
      </c>
    </row>
    <row r="13" ht="22.35" customHeight="1" s="38">
      <c r="A13" s="71" t="inlineStr">
        <is>
          <t>03/09/2026</t>
        </is>
      </c>
      <c r="B13" s="72" t="inlineStr">
        <is>
          <t>399d8ab</t>
        </is>
      </c>
      <c r="C13" s="71" t="inlineStr">
        <is>
          <t>Bảo mật</t>
        </is>
      </c>
      <c r="D13" s="59" t="inlineStr">
        <is>
          <t>domains/audit: bảng audit_logs + middleware ghi mọi POST/PUT/PATCH/DELETE, che đệ quy 17 trường nhạy cảm, suy ra resource_type/resource_id từ đường dẫn</t>
        </is>
      </c>
      <c r="E13" s="59" t="inlineStr">
        <is>
          <t>19 test QA-AUD, gồm cả test payload lồng 50 tầng không làm treo</t>
        </is>
      </c>
    </row>
    <row r="14" ht="22.35" customHeight="1" s="38">
      <c r="A14" s="71" t="inlineStr">
        <is>
          <t>03/09/2026</t>
        </is>
      </c>
      <c r="B14" s="72" t="inlineStr">
        <is>
          <t>399d8ab</t>
        </is>
      </c>
      <c r="C14" s="71" t="inlineStr">
        <is>
          <t>Bảo mật</t>
        </is>
      </c>
      <c r="D14" s="59" t="inlineStr">
        <is>
          <t>Xoay vòng refresh token theo OAuth 2.0 BCP §4.13: dùng lại token đã tiêu thì thu hồi cả họ token của thiết bị đó. Thêm POST /auth/logout</t>
        </is>
      </c>
      <c r="E14" s="59" t="inlineStr">
        <is>
          <t>9 test QA-AUTH, gồm kịch bản token bị đánh cắp và kịch bản không đá người dùng cũ ra khi deploy</t>
        </is>
      </c>
    </row>
    <row r="15" ht="22.35" customHeight="1" s="38">
      <c r="A15" s="71" t="inlineStr">
        <is>
          <t>03/09/2026</t>
        </is>
      </c>
      <c r="B15" s="72" t="inlineStr">
        <is>
          <t>399d8ab</t>
        </is>
      </c>
      <c r="C15" s="71" t="inlineStr">
        <is>
          <t>Tiền</t>
        </is>
      </c>
      <c r="D15" s="59" t="inlineStr">
        <is>
          <t>core/idempotency: middleware chung cho 5 nhóm endpoint chạm tiền. Gửi trùng phát lại response cũ, bản gốc đang chạy trả 409, chỉ cache kết quả thành công</t>
        </is>
      </c>
      <c r="E15" s="59" t="inlineStr">
        <is>
          <t>16 test QA-IDM chạy qua đúng chuỗi middleware thật</t>
        </is>
      </c>
    </row>
    <row r="16" ht="22.35" customHeight="1" s="38">
      <c r="A16" s="71" t="inlineStr">
        <is>
          <t>03/09/2026</t>
        </is>
      </c>
      <c r="B16" s="72" t="inlineStr">
        <is>
          <t>399d8ab</t>
        </is>
      </c>
      <c r="C16" s="71" t="inlineStr">
        <is>
          <t>Vận hành</t>
        </is>
      </c>
      <c r="D16" s="59" t="inlineStr">
        <is>
          <t>X-Request-ID xuyên log, audit và response header; hook Sentry bật theo DSN, không gửi kèm PII</t>
        </is>
      </c>
      <c r="E16" s="59" t="inlineStr">
        <is>
          <t>8 test QA-RL/QA-OBS, gồm test /health không chạm DB</t>
        </is>
      </c>
    </row>
    <row r="17" ht="22.35" customHeight="1" s="38">
      <c r="A17" s="71" t="inlineStr">
        <is>
          <t>03/09/2026</t>
        </is>
      </c>
      <c r="B17" s="72" t="inlineStr">
        <is>
          <t>399d8ab</t>
        </is>
      </c>
      <c r="C17" s="71" t="inlineStr">
        <is>
          <t>QA</t>
        </is>
      </c>
      <c r="D17" s="59" t="inlineStr">
        <is>
          <t>Dựng vai trò QA: quyền chặn merge/release, DoD 9 điểm, phân loại lỗi 5 mức, ma trận truy vết 58 yêu cầu PRD, mẫu báo lỗi và PR template</t>
        </is>
      </c>
      <c r="E17" s="59" t="inlineStr">
        <is>
          <t>docs/QA/ 4 file; PR template bắt buộc trả lời câu 'test này đỏ khi nào'</t>
        </is>
      </c>
    </row>
    <row r="18" ht="22.35" customHeight="1" s="38">
      <c r="A18" s="71" t="inlineStr">
        <is>
          <t>03/09/2026</t>
        </is>
      </c>
      <c r="B18" s="72" t="inlineStr">
        <is>
          <t>399d8ab</t>
        </is>
      </c>
      <c r="C18" s="71" t="inlineStr">
        <is>
          <t>QA</t>
        </is>
      </c>
      <c r="D18" s="59" t="inlineStr">
        <is>
          <t>Trả 4 khoản nợ kiểm thử: bán kính matching có nới thật, 2 tài xế cùng nhận chỉ 1 người thắng, chuyến quá hạn thoát trạng thái chờ, mã hoá CCCD at-rest</t>
        </is>
      </c>
      <c r="E18" s="59" t="inlineStr">
        <is>
          <t>51 → 129 test, độ phủ 78% → 81%; CI thêm ngưỡng 75% và job riêng cho money/security</t>
        </is>
      </c>
    </row>
    <row r="19" ht="22.35" customHeight="1" s="38">
      <c r="A19" s="71" t="inlineStr">
        <is>
          <t>03/09/2026</t>
        </is>
      </c>
      <c r="B19" s="72" t="inlineStr">
        <is>
          <t>a1813a1</t>
        </is>
      </c>
      <c r="C19" s="71" t="inlineStr">
        <is>
          <t>Bàn giao</t>
        </is>
      </c>
      <c r="D19" s="59" t="inlineStr">
        <is>
          <t>Soạn MERGE_REQUEST.md: ánh xạ PRD, bảng 'test này đỏ khi nào', thay đổi phá vỡ tương thích, rủi ro và cách quay lui</t>
        </is>
      </c>
      <c r="E19" s="59" t="inlineStr">
        <is>
          <t>Nhánh chore/p0-foundation, 5 commit. CHƯA push được: môi trường cầu nối không có thông tin đăng nhập GitHub</t>
        </is>
      </c>
    </row>
    <row r="22" ht="15" customHeight="1" s="38">
      <c r="A22" s="73" t="inlineStr">
        <is>
          <t>ĐÁNH GIÁ BAN ĐẦU ĐÃ ĐƯỢC SỬA LẠI</t>
        </is>
      </c>
    </row>
    <row r="23" ht="15" customHeight="1" s="38">
      <c r="A23" s="56" t="inlineStr">
        <is>
          <t>Ghi lại để lần sau không lặp lại, và để ai đọc bảng này biết con số nào đã thay đổi vì sao.</t>
        </is>
      </c>
    </row>
    <row r="25" ht="31.5" customHeight="1" s="38">
      <c r="A25" s="74" t="inlineStr">
        <is>
          <t>Chủ đề</t>
        </is>
      </c>
      <c r="B25" s="74" t="inlineStr">
        <is>
          <t>Đã nói ban đầu</t>
        </is>
      </c>
      <c r="C25" s="74" t="inlineStr">
        <is>
          <t>Thực tế</t>
        </is>
      </c>
      <c r="D25" s="74" t="inlineStr">
        <is>
          <t>Đã xử lý thế nào</t>
        </is>
      </c>
    </row>
    <row r="26" ht="126.85" customHeight="1" s="38">
      <c r="A26" s="59" t="inlineStr">
        <is>
          <t>Rate limit</t>
        </is>
      </c>
      <c r="B26" s="59" t="inlineStr">
        <is>
          <t>Đánh giá 03/09 sáng: 'RateLimitMiddleware là in-process, sai khi scale ngang'</t>
        </is>
      </c>
      <c r="C26" s="59" t="inlineStr">
        <is>
          <t>SAI. Đọc kỹ mã thì middleware vốn đã dùng Redis. Vấn đề thật nhỏ hơn nhưng vẫn đáng sửa: cửa sổ cố định theo phút cho phép gửi gấp đôi hạn mức quanh ranh giới phút — với endpoint gửi OTP thì mỗi tin là chi phí SMS thật</t>
        </is>
      </c>
      <c r="D26" s="59" t="inlineStr">
        <is>
          <t>Đã sửa cả mã lẫn dòng task tương ứng trong Backlog</t>
        </is>
      </c>
    </row>
    <row r="27" ht="85.05" customHeight="1" s="38">
      <c r="A27" s="59" t="inlineStr">
        <is>
          <t>Đường găng dự án</t>
        </is>
      </c>
      <c r="B27" s="59" t="inlineStr">
        <is>
          <t>Giả định ban đầu: mobile là điểm nghẽn</t>
        </is>
      </c>
      <c r="C27" s="59" t="inlineStr">
        <is>
          <t>Số liệu nói khác: Backend cần ~24 sprint một mình, Mobile ~14, Frontend ~16, Tech Lead chỉ ~9. Backend mới là đường găng</t>
        </is>
      </c>
      <c r="D27" s="59" t="inlineStr">
        <is>
          <t>Đã đổi rủi ro R1 và thêm R1b; xem sheet Rủi ro</t>
        </is>
      </c>
    </row>
    <row r="28" ht="95.5" customHeight="1" s="38">
      <c r="A28" s="59" t="inlineStr">
        <is>
          <t>Môi trường chạy test</t>
        </is>
      </c>
      <c r="B28" s="59" t="inlineStr">
        <is>
          <t>Dự kiến chạy test bằng .venv sẵn có trong repo</t>
        </is>
      </c>
      <c r="C28" s="59" t="inlineStr">
        <is>
          <t>.venv trong repo build cho macOS nên không dùng được từ môi trường Linux của cầu nối; ngoài ra máy chỉ có Python 3.10 trong khi dự án yêu cầu 3.11</t>
        </is>
      </c>
      <c r="D28" s="59" t="inlineStr">
        <is>
          <t>Đã tạo venv riêng ngoài repo để chạy test; giữ timezone.utc thay vì datetime.UTC (tắt luật UP017) để mã còn chạy được trên 3.10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2026-09-03T03:41:24Z</dcterms:created>
  <dcterms:modified xsi:type="dcterms:W3CDTF">2026-09-03T10:01:00Z</dcterms:modified>
  <cp:revision>0</cp:revision>
</cp:coreProperties>
</file>